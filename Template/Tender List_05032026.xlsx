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1\Downloads\"/>
    </mc:Choice>
  </mc:AlternateContent>
  <bookViews>
    <workbookView xWindow="0" yWindow="0" windowWidth="27390" windowHeight="11250" activeTab="1"/>
  </bookViews>
  <sheets>
    <sheet name="Tender List_05032026" sheetId="1" r:id="rId1"/>
    <sheet name="Sheet1" sheetId="2" r:id="rId2"/>
  </sheets>
  <definedNames>
    <definedName name="_xlnm._FilterDatabase" localSheetId="0" hidden="1">'Tender List_05032026'!$A$1:$K$262</definedName>
    <definedName name="Slicer_Status">#N/A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Lst>
</workbook>
</file>

<file path=xl/calcChain.xml><?xml version="1.0" encoding="utf-8"?>
<calcChain xmlns="http://schemas.openxmlformats.org/spreadsheetml/2006/main">
  <c r="H12" i="2" l="1"/>
  <c r="H272" i="2"/>
  <c r="H271" i="2"/>
  <c r="H270" i="2"/>
  <c r="H269" i="2"/>
  <c r="H268" i="2"/>
  <c r="H267" i="2"/>
  <c r="H266" i="2"/>
  <c r="I265" i="2"/>
  <c r="H265" i="2" s="1"/>
  <c r="I264" i="2"/>
  <c r="H264" i="2" s="1"/>
  <c r="H263" i="2"/>
  <c r="H262" i="2"/>
  <c r="I261" i="2"/>
  <c r="H261" i="2" s="1"/>
  <c r="H260" i="2"/>
  <c r="H259" i="2"/>
  <c r="H258" i="2"/>
  <c r="H257" i="2"/>
  <c r="H256" i="2"/>
  <c r="I255" i="2"/>
  <c r="H255" i="2" s="1"/>
  <c r="H254" i="2"/>
  <c r="H253" i="2"/>
  <c r="H252" i="2"/>
  <c r="H251" i="2"/>
  <c r="I250" i="2"/>
  <c r="H250" i="2" s="1"/>
  <c r="H249" i="2"/>
  <c r="H248" i="2"/>
  <c r="H247" i="2"/>
  <c r="H246" i="2"/>
  <c r="I245" i="2"/>
  <c r="H245" i="2" s="1"/>
  <c r="H244" i="2"/>
  <c r="I243" i="2"/>
  <c r="H243" i="2" s="1"/>
  <c r="H242" i="2"/>
  <c r="H241" i="2"/>
  <c r="I240" i="2"/>
  <c r="H240" i="2" s="1"/>
  <c r="I239" i="2"/>
  <c r="H239" i="2" s="1"/>
  <c r="H238" i="2"/>
  <c r="H237" i="2"/>
  <c r="H236" i="2"/>
  <c r="H235" i="2"/>
  <c r="H234" i="2"/>
  <c r="H233" i="2"/>
  <c r="H232" i="2"/>
  <c r="H231" i="2"/>
  <c r="H230" i="2"/>
  <c r="I229" i="2"/>
  <c r="H229" i="2" s="1"/>
  <c r="J228" i="2"/>
  <c r="H228" i="2"/>
  <c r="H227" i="2"/>
  <c r="J226" i="2"/>
  <c r="H226" i="2"/>
  <c r="H225" i="2"/>
  <c r="J224" i="2"/>
  <c r="H224" i="2"/>
  <c r="H223" i="2"/>
  <c r="H222" i="2"/>
  <c r="H221" i="2"/>
  <c r="I220" i="2"/>
  <c r="H220" i="2" s="1"/>
  <c r="H219" i="2"/>
  <c r="H218" i="2"/>
  <c r="H217" i="2"/>
  <c r="H216" i="2"/>
  <c r="I215" i="2"/>
  <c r="H215" i="2" s="1"/>
  <c r="I214" i="2"/>
  <c r="H214" i="2" s="1"/>
  <c r="H213" i="2"/>
  <c r="I212" i="2"/>
  <c r="H212" i="2" s="1"/>
  <c r="H211" i="2"/>
  <c r="I210" i="2"/>
  <c r="H210" i="2" s="1"/>
  <c r="I209" i="2"/>
  <c r="H209" i="2" s="1"/>
  <c r="H208" i="2"/>
  <c r="H207" i="2"/>
  <c r="H206" i="2"/>
  <c r="H205" i="2"/>
  <c r="I204" i="2"/>
  <c r="H204" i="2" s="1"/>
  <c r="I203" i="2"/>
  <c r="H203" i="2" s="1"/>
  <c r="H202" i="2"/>
  <c r="I201" i="2"/>
  <c r="H201" i="2" s="1"/>
  <c r="I200" i="2"/>
  <c r="H200" i="2" s="1"/>
  <c r="H199" i="2"/>
  <c r="I198" i="2"/>
  <c r="H198" i="2" s="1"/>
  <c r="H197" i="2"/>
  <c r="I196" i="2"/>
  <c r="H196" i="2"/>
  <c r="I195" i="2"/>
  <c r="H195" i="2" s="1"/>
  <c r="H194" i="2"/>
  <c r="I193" i="2"/>
  <c r="H193" i="2"/>
  <c r="H192" i="2"/>
  <c r="I191" i="2"/>
  <c r="H191" i="2" s="1"/>
  <c r="I190" i="2"/>
  <c r="H190" i="2" s="1"/>
  <c r="I189" i="2"/>
  <c r="H189" i="2" s="1"/>
  <c r="J188" i="2"/>
  <c r="H188" i="2"/>
  <c r="I187" i="2"/>
  <c r="H187" i="2" s="1"/>
  <c r="I186" i="2"/>
  <c r="H186" i="2" s="1"/>
  <c r="I185" i="2"/>
  <c r="H185" i="2" s="1"/>
  <c r="I184" i="2"/>
  <c r="H184" i="2" s="1"/>
  <c r="I183" i="2"/>
  <c r="H183" i="2" s="1"/>
  <c r="I182" i="2"/>
  <c r="H182" i="2" s="1"/>
  <c r="H181" i="2"/>
  <c r="J180" i="2"/>
  <c r="H180" i="2"/>
  <c r="I179" i="2"/>
  <c r="H179" i="2" s="1"/>
  <c r="I178" i="2"/>
  <c r="H178" i="2" s="1"/>
  <c r="I177" i="2"/>
  <c r="H177" i="2" s="1"/>
  <c r="I176" i="2"/>
  <c r="H176" i="2" s="1"/>
  <c r="H175" i="2"/>
  <c r="J174" i="2"/>
  <c r="H174" i="2"/>
  <c r="J173" i="2"/>
  <c r="H173" i="2"/>
  <c r="J172" i="2"/>
  <c r="H172" i="2"/>
  <c r="J171" i="2"/>
  <c r="H171" i="2"/>
  <c r="I170" i="2"/>
  <c r="H170" i="2" s="1"/>
  <c r="I169" i="2"/>
  <c r="H169" i="2" s="1"/>
  <c r="H168" i="2"/>
  <c r="I167" i="2"/>
  <c r="H167" i="2" s="1"/>
  <c r="I166" i="2"/>
  <c r="H166" i="2" s="1"/>
  <c r="J165" i="2"/>
  <c r="H165" i="2"/>
  <c r="J164" i="2"/>
  <c r="H164" i="2"/>
  <c r="I163" i="2"/>
  <c r="H163" i="2" s="1"/>
  <c r="I162" i="2"/>
  <c r="H162" i="2" s="1"/>
  <c r="I161" i="2"/>
  <c r="H161" i="2" s="1"/>
  <c r="I160" i="2"/>
  <c r="H160" i="2" s="1"/>
  <c r="J159" i="2"/>
  <c r="H159" i="2"/>
  <c r="I158" i="2"/>
  <c r="H158" i="2" s="1"/>
  <c r="I157" i="2"/>
  <c r="H157" i="2" s="1"/>
  <c r="I156" i="2"/>
  <c r="H156" i="2" s="1"/>
  <c r="H155" i="2"/>
  <c r="H154" i="2"/>
  <c r="H153" i="2"/>
  <c r="H152" i="2"/>
  <c r="H151" i="2"/>
  <c r="H150" i="2"/>
  <c r="H149" i="2"/>
  <c r="J148" i="2"/>
  <c r="H148" i="2"/>
  <c r="J147" i="2"/>
  <c r="H147" i="2"/>
  <c r="H146" i="2"/>
  <c r="J145" i="2"/>
  <c r="H145" i="2"/>
  <c r="J144" i="2"/>
  <c r="H144" i="2"/>
  <c r="H143" i="2"/>
  <c r="J142" i="2"/>
  <c r="H142" i="2"/>
  <c r="J141" i="2"/>
  <c r="H141" i="2"/>
  <c r="J140" i="2"/>
  <c r="H140" i="2"/>
  <c r="J139" i="2"/>
  <c r="H139" i="2"/>
  <c r="J138" i="2"/>
  <c r="H138" i="2"/>
  <c r="J137" i="2"/>
  <c r="H137" i="2"/>
  <c r="J136" i="2"/>
  <c r="H136" i="2"/>
  <c r="J135" i="2"/>
  <c r="H135" i="2"/>
  <c r="J134" i="2"/>
  <c r="H134" i="2"/>
  <c r="J133" i="2"/>
  <c r="H133" i="2"/>
  <c r="J132" i="2"/>
  <c r="H132" i="2"/>
  <c r="J131" i="2"/>
  <c r="H131" i="2"/>
  <c r="J130" i="2"/>
  <c r="H130" i="2"/>
  <c r="J129" i="2"/>
  <c r="H129" i="2"/>
  <c r="J128" i="2"/>
  <c r="H128" i="2"/>
  <c r="H127" i="2"/>
  <c r="I126" i="2"/>
  <c r="H126" i="2" s="1"/>
  <c r="J125" i="2"/>
  <c r="H125" i="2"/>
  <c r="J124" i="2"/>
  <c r="H124" i="2"/>
  <c r="I123" i="2"/>
  <c r="H123" i="2" s="1"/>
  <c r="J122" i="2"/>
  <c r="H122" i="2"/>
  <c r="J121" i="2"/>
  <c r="H121" i="2"/>
  <c r="J120" i="2"/>
  <c r="H120" i="2"/>
  <c r="J119" i="2"/>
  <c r="H119" i="2"/>
  <c r="J118" i="2"/>
  <c r="H118" i="2"/>
  <c r="J117" i="2"/>
  <c r="H117" i="2"/>
  <c r="J116" i="2"/>
  <c r="H116" i="2"/>
  <c r="J115" i="2"/>
  <c r="H115" i="2"/>
  <c r="H114" i="2"/>
  <c r="H113" i="2"/>
  <c r="H112" i="2"/>
  <c r="I111" i="2"/>
  <c r="H111" i="2" s="1"/>
  <c r="H110" i="2"/>
  <c r="H109" i="2"/>
  <c r="H108" i="2"/>
  <c r="H107" i="2"/>
  <c r="H106" i="2"/>
  <c r="I105" i="2"/>
  <c r="H105" i="2" s="1"/>
  <c r="H104" i="2"/>
  <c r="H103" i="2"/>
  <c r="H102" i="2"/>
  <c r="H101" i="2"/>
  <c r="H100" i="2"/>
  <c r="H99" i="2"/>
  <c r="H98" i="2"/>
  <c r="H97" i="2"/>
  <c r="H96" i="2"/>
  <c r="H95" i="2"/>
  <c r="H94" i="2"/>
  <c r="H93" i="2"/>
  <c r="H92" i="2"/>
  <c r="H91" i="2"/>
  <c r="H90" i="2"/>
  <c r="H89" i="2"/>
  <c r="H88" i="2"/>
  <c r="H87" i="2"/>
  <c r="H86" i="2"/>
  <c r="H85" i="2"/>
  <c r="H84" i="2"/>
  <c r="H83" i="2"/>
  <c r="H82" i="2"/>
  <c r="I81" i="2"/>
  <c r="H81" i="2" s="1"/>
  <c r="I80" i="2"/>
  <c r="H80" i="2" s="1"/>
  <c r="I79" i="2"/>
  <c r="H79" i="2" s="1"/>
  <c r="H78" i="2"/>
  <c r="H77" i="2"/>
  <c r="H76" i="2"/>
  <c r="H75" i="2"/>
  <c r="I74" i="2"/>
  <c r="H74" i="2" s="1"/>
  <c r="J73" i="2"/>
  <c r="H73" i="2"/>
  <c r="H72" i="2"/>
  <c r="J71" i="2"/>
  <c r="H71" i="2"/>
  <c r="J70" i="2"/>
  <c r="H70" i="2"/>
  <c r="J69" i="2"/>
  <c r="H69" i="2"/>
  <c r="J68" i="2"/>
  <c r="H68" i="2"/>
  <c r="J67" i="2"/>
  <c r="H67" i="2"/>
  <c r="J66" i="2"/>
  <c r="H66" i="2"/>
  <c r="J65" i="2"/>
  <c r="H65" i="2"/>
  <c r="J64" i="2"/>
  <c r="H64" i="2"/>
  <c r="I63" i="2"/>
  <c r="H63" i="2" s="1"/>
  <c r="J62" i="2"/>
  <c r="H62" i="2"/>
  <c r="J61" i="2"/>
  <c r="H61" i="2"/>
  <c r="I60" i="2"/>
  <c r="H60" i="2" s="1"/>
  <c r="H59" i="2"/>
  <c r="J58" i="2"/>
  <c r="H58" i="2"/>
  <c r="J57" i="2"/>
  <c r="H57" i="2"/>
  <c r="J56" i="2"/>
  <c r="H56" i="2"/>
  <c r="H55" i="2"/>
  <c r="H54" i="2"/>
  <c r="J53" i="2"/>
  <c r="H53" i="2"/>
  <c r="I52" i="2"/>
  <c r="H52" i="2" s="1"/>
  <c r="J51" i="2"/>
  <c r="H51" i="2"/>
  <c r="H50" i="2"/>
  <c r="H49" i="2"/>
  <c r="J48" i="2"/>
  <c r="H48" i="2"/>
  <c r="H47" i="2"/>
  <c r="J46" i="2"/>
  <c r="H46" i="2"/>
  <c r="H45" i="2"/>
  <c r="I44" i="2"/>
  <c r="H44" i="2" s="1"/>
  <c r="H43" i="2"/>
  <c r="I42" i="2"/>
  <c r="H42" i="2" s="1"/>
  <c r="I41" i="2"/>
  <c r="H41" i="2" s="1"/>
  <c r="I40" i="2"/>
  <c r="H40" i="2" s="1"/>
  <c r="I39" i="2"/>
  <c r="H39" i="2" s="1"/>
  <c r="H38" i="2"/>
  <c r="I37" i="2"/>
  <c r="H37" i="2" s="1"/>
  <c r="I36" i="2"/>
  <c r="H36" i="2" s="1"/>
  <c r="H35" i="2"/>
  <c r="H34" i="2"/>
  <c r="J33" i="2"/>
  <c r="H33" i="2"/>
  <c r="I32" i="2"/>
  <c r="H32" i="2" s="1"/>
  <c r="I31" i="2"/>
  <c r="H31" i="2" s="1"/>
  <c r="I30" i="2"/>
  <c r="H30" i="2" s="1"/>
  <c r="I29" i="2"/>
  <c r="H29" i="2"/>
  <c r="I28" i="2"/>
  <c r="H28" i="2" s="1"/>
  <c r="I27" i="2"/>
  <c r="H27" i="2" s="1"/>
  <c r="J26" i="2"/>
  <c r="H26" i="2"/>
  <c r="H25" i="2"/>
  <c r="I24" i="2"/>
  <c r="H24" i="2" s="1"/>
  <c r="I23" i="2"/>
  <c r="H23" i="2" s="1"/>
  <c r="I22" i="2"/>
  <c r="H22" i="2"/>
  <c r="I21" i="2"/>
  <c r="H21" i="2" s="1"/>
  <c r="I20" i="2"/>
  <c r="H20" i="2" s="1"/>
  <c r="I19" i="2"/>
  <c r="H19" i="2" s="1"/>
  <c r="I18" i="2"/>
  <c r="H18" i="2" s="1"/>
  <c r="I17" i="2"/>
  <c r="H17" i="2" s="1"/>
  <c r="I16" i="2"/>
  <c r="H16" i="2" s="1"/>
  <c r="I15" i="2"/>
  <c r="H15" i="2" s="1"/>
  <c r="I14" i="2"/>
  <c r="H14" i="2" s="1"/>
  <c r="I13" i="2"/>
  <c r="H13" i="2" s="1"/>
  <c r="G162" i="1"/>
  <c r="G163" i="1"/>
  <c r="G164" i="1"/>
  <c r="G161" i="1"/>
  <c r="E164" i="1"/>
  <c r="E163" i="1"/>
  <c r="E162" i="1"/>
  <c r="G119" i="1"/>
  <c r="G118" i="1"/>
  <c r="E61" i="1"/>
  <c r="G61" i="1"/>
  <c r="G60" i="1"/>
  <c r="E60" i="1"/>
  <c r="G59" i="1"/>
  <c r="E59" i="1"/>
  <c r="G58" i="1"/>
  <c r="G43" i="1"/>
  <c r="F12" i="1"/>
  <c r="F5" i="1"/>
  <c r="E2" i="1" l="1"/>
  <c r="I7" i="2" l="1"/>
  <c r="E262" i="1"/>
  <c r="E261" i="1"/>
  <c r="E260" i="1"/>
  <c r="E259" i="1"/>
  <c r="E258" i="1"/>
  <c r="E257" i="1"/>
  <c r="E256" i="1"/>
  <c r="E253" i="1"/>
  <c r="E252" i="1"/>
  <c r="E250" i="1"/>
  <c r="E249" i="1"/>
  <c r="E248" i="1"/>
  <c r="E247" i="1"/>
  <c r="E246" i="1"/>
  <c r="E244" i="1"/>
  <c r="E243" i="1"/>
  <c r="E242" i="1"/>
  <c r="E241" i="1"/>
  <c r="E239" i="1"/>
  <c r="E238" i="1"/>
  <c r="E237" i="1"/>
  <c r="E236" i="1"/>
  <c r="E234" i="1"/>
  <c r="E232" i="1"/>
  <c r="E231" i="1"/>
  <c r="E228" i="1"/>
  <c r="E227" i="1"/>
  <c r="E226" i="1"/>
  <c r="E225" i="1"/>
  <c r="E224" i="1"/>
  <c r="E223" i="1"/>
  <c r="E222" i="1"/>
  <c r="E221" i="1"/>
  <c r="E220" i="1"/>
  <c r="E218" i="1"/>
  <c r="E217" i="1"/>
  <c r="E216" i="1"/>
  <c r="E215" i="1"/>
  <c r="E214" i="1"/>
  <c r="E213" i="1"/>
  <c r="E212" i="1"/>
  <c r="E211" i="1"/>
  <c r="E209" i="1"/>
  <c r="E208" i="1"/>
  <c r="E207" i="1"/>
  <c r="E206" i="1"/>
  <c r="E203" i="1"/>
  <c r="E201" i="1"/>
  <c r="E198" i="1"/>
  <c r="E197" i="1"/>
  <c r="E196" i="1"/>
  <c r="E195" i="1"/>
  <c r="E192" i="1"/>
  <c r="E189" i="1"/>
  <c r="E187" i="1"/>
  <c r="E184" i="1"/>
  <c r="E182" i="1"/>
  <c r="E178" i="1"/>
  <c r="E171" i="1"/>
  <c r="E170" i="1"/>
  <c r="E165" i="1"/>
  <c r="E161" i="1"/>
  <c r="E158" i="1"/>
  <c r="E155" i="1"/>
  <c r="E154" i="1"/>
  <c r="E149"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5" i="1"/>
  <c r="E114" i="1"/>
  <c r="E112" i="1"/>
  <c r="E111" i="1"/>
  <c r="E110" i="1"/>
  <c r="E109" i="1"/>
  <c r="E108" i="1"/>
  <c r="E107" i="1"/>
  <c r="E106" i="1"/>
  <c r="E105" i="1"/>
  <c r="E104" i="1"/>
  <c r="E103" i="1"/>
  <c r="E102" i="1"/>
  <c r="E100" i="1"/>
  <c r="E99" i="1"/>
  <c r="E98" i="1"/>
  <c r="E97" i="1"/>
  <c r="E96" i="1"/>
  <c r="E94" i="1"/>
  <c r="E93" i="1"/>
  <c r="E92" i="1"/>
  <c r="E91" i="1"/>
  <c r="E90" i="1"/>
  <c r="E89" i="1"/>
  <c r="E88" i="1"/>
  <c r="E87" i="1"/>
  <c r="E86" i="1"/>
  <c r="E85" i="1"/>
  <c r="E84" i="1"/>
  <c r="E83" i="1"/>
  <c r="E82" i="1"/>
  <c r="E81" i="1"/>
  <c r="E80" i="1"/>
  <c r="E79" i="1"/>
  <c r="E78" i="1"/>
  <c r="E77" i="1"/>
  <c r="E76" i="1"/>
  <c r="E75" i="1"/>
  <c r="E74" i="1"/>
  <c r="E73" i="1"/>
  <c r="E72" i="1"/>
  <c r="E68" i="1"/>
  <c r="E67" i="1"/>
  <c r="E66" i="1"/>
  <c r="E65" i="1"/>
  <c r="E63" i="1"/>
  <c r="E62" i="1"/>
  <c r="E58" i="1"/>
  <c r="E57" i="1"/>
  <c r="E56" i="1"/>
  <c r="E55" i="1"/>
  <c r="E54" i="1"/>
  <c r="E52" i="1"/>
  <c r="E51" i="1"/>
  <c r="E49" i="1"/>
  <c r="E48" i="1"/>
  <c r="E47" i="1"/>
  <c r="E46" i="1"/>
  <c r="E45" i="1"/>
  <c r="E44" i="1"/>
  <c r="E43" i="1"/>
  <c r="E41" i="1"/>
  <c r="E40" i="1"/>
  <c r="E39" i="1"/>
  <c r="E38" i="1"/>
  <c r="E37" i="1"/>
  <c r="E36" i="1"/>
  <c r="E35" i="1"/>
  <c r="E33" i="1"/>
  <c r="E28" i="1"/>
  <c r="E25" i="1"/>
  <c r="E24" i="1"/>
  <c r="E23" i="1"/>
  <c r="E16" i="1"/>
  <c r="E15" i="1"/>
  <c r="E12" i="1"/>
  <c r="E5" i="1"/>
  <c r="G218" i="1"/>
  <c r="G216" i="1"/>
  <c r="G214" i="1"/>
  <c r="G178" i="1"/>
  <c r="G170" i="1"/>
  <c r="G155" i="1"/>
  <c r="G154" i="1"/>
  <c r="G149" i="1"/>
  <c r="G138" i="1"/>
  <c r="G137" i="1"/>
  <c r="G135" i="1"/>
  <c r="G134" i="1"/>
  <c r="G132" i="1"/>
  <c r="G131" i="1"/>
  <c r="G130" i="1"/>
  <c r="G129" i="1"/>
  <c r="G128" i="1"/>
  <c r="G127" i="1"/>
  <c r="G126" i="1"/>
  <c r="G125" i="1"/>
  <c r="G124" i="1"/>
  <c r="G123" i="1"/>
  <c r="G122" i="1"/>
  <c r="G121" i="1"/>
  <c r="G120" i="1"/>
  <c r="G115" i="1"/>
  <c r="G114" i="1"/>
  <c r="G112" i="1"/>
  <c r="G111" i="1"/>
  <c r="G110" i="1"/>
  <c r="G109" i="1"/>
  <c r="G108" i="1"/>
  <c r="G107" i="1"/>
  <c r="G106" i="1"/>
  <c r="G105" i="1"/>
  <c r="G63" i="1"/>
  <c r="G57" i="1"/>
  <c r="G56" i="1"/>
  <c r="G55" i="1"/>
  <c r="G54" i="1"/>
  <c r="G52" i="1"/>
  <c r="G51" i="1"/>
  <c r="G48" i="1"/>
  <c r="G47" i="1"/>
  <c r="G46" i="1"/>
  <c r="G41" i="1"/>
  <c r="G38" i="1"/>
  <c r="G36" i="1"/>
  <c r="G23" i="1"/>
  <c r="G16" i="1"/>
  <c r="F255" i="1"/>
  <c r="E255" i="1" s="1"/>
  <c r="F254" i="1"/>
  <c r="E254" i="1" s="1"/>
  <c r="F251" i="1"/>
  <c r="E251" i="1" s="1"/>
  <c r="F245" i="1"/>
  <c r="E245" i="1" s="1"/>
  <c r="F240" i="1"/>
  <c r="E240" i="1" s="1"/>
  <c r="F235" i="1"/>
  <c r="E235" i="1" s="1"/>
  <c r="F233" i="1"/>
  <c r="E233" i="1" s="1"/>
  <c r="F230" i="1"/>
  <c r="E230" i="1" s="1"/>
  <c r="F229" i="1"/>
  <c r="E229" i="1" s="1"/>
  <c r="F219" i="1"/>
  <c r="E219" i="1" s="1"/>
  <c r="F210" i="1"/>
  <c r="E210" i="1" s="1"/>
  <c r="F205" i="1"/>
  <c r="E205" i="1" s="1"/>
  <c r="F204" i="1"/>
  <c r="E204" i="1" s="1"/>
  <c r="F202" i="1"/>
  <c r="E202" i="1" s="1"/>
  <c r="F200" i="1"/>
  <c r="E200" i="1" s="1"/>
  <c r="F199" i="1"/>
  <c r="E199" i="1" s="1"/>
  <c r="F194" i="1"/>
  <c r="E194" i="1" s="1"/>
  <c r="F193" i="1"/>
  <c r="E193" i="1" s="1"/>
  <c r="F191" i="1"/>
  <c r="E191" i="1" s="1"/>
  <c r="F190" i="1"/>
  <c r="E190" i="1" s="1"/>
  <c r="F188" i="1"/>
  <c r="E188" i="1" s="1"/>
  <c r="F186" i="1"/>
  <c r="E186" i="1" s="1"/>
  <c r="F185" i="1"/>
  <c r="E185" i="1" s="1"/>
  <c r="F183" i="1"/>
  <c r="E183" i="1" s="1"/>
  <c r="F181" i="1"/>
  <c r="E181" i="1" s="1"/>
  <c r="F180" i="1"/>
  <c r="E180" i="1" s="1"/>
  <c r="F179" i="1"/>
  <c r="E179" i="1" s="1"/>
  <c r="F177" i="1"/>
  <c r="E177" i="1" s="1"/>
  <c r="F176" i="1"/>
  <c r="E176" i="1" s="1"/>
  <c r="F175" i="1"/>
  <c r="E175" i="1" s="1"/>
  <c r="F174" i="1"/>
  <c r="E174" i="1" s="1"/>
  <c r="F173" i="1"/>
  <c r="E173" i="1" s="1"/>
  <c r="F172" i="1"/>
  <c r="E172" i="1" s="1"/>
  <c r="F169" i="1"/>
  <c r="E169" i="1" s="1"/>
  <c r="F168" i="1"/>
  <c r="E168" i="1" s="1"/>
  <c r="F167" i="1"/>
  <c r="E167" i="1" s="1"/>
  <c r="F166" i="1"/>
  <c r="E166" i="1" s="1"/>
  <c r="F160" i="1"/>
  <c r="E160" i="1" s="1"/>
  <c r="F159" i="1"/>
  <c r="E159" i="1" s="1"/>
  <c r="F157" i="1"/>
  <c r="E157" i="1" s="1"/>
  <c r="F156" i="1"/>
  <c r="E156" i="1" s="1"/>
  <c r="F153" i="1"/>
  <c r="E153" i="1" s="1"/>
  <c r="F152" i="1"/>
  <c r="E152" i="1" s="1"/>
  <c r="F151" i="1"/>
  <c r="E151" i="1" s="1"/>
  <c r="F150" i="1"/>
  <c r="E150" i="1" s="1"/>
  <c r="F148" i="1"/>
  <c r="E148" i="1" s="1"/>
  <c r="F147" i="1"/>
  <c r="E147" i="1" s="1"/>
  <c r="F146" i="1"/>
  <c r="E146" i="1" s="1"/>
  <c r="F116" i="1"/>
  <c r="E116" i="1" s="1"/>
  <c r="F113" i="1"/>
  <c r="E113" i="1" s="1"/>
  <c r="F101" i="1"/>
  <c r="E101" i="1" s="1"/>
  <c r="F95" i="1"/>
  <c r="E95" i="1" s="1"/>
  <c r="F71" i="1"/>
  <c r="E71" i="1" s="1"/>
  <c r="F70" i="1"/>
  <c r="E70" i="1" s="1"/>
  <c r="F69" i="1"/>
  <c r="E69" i="1" s="1"/>
  <c r="F64" i="1"/>
  <c r="E64" i="1" s="1"/>
  <c r="F53" i="1"/>
  <c r="E53" i="1" s="1"/>
  <c r="F50" i="1"/>
  <c r="E50" i="1" s="1"/>
  <c r="F42" i="1"/>
  <c r="E42" i="1" s="1"/>
  <c r="F34" i="1"/>
  <c r="E34" i="1" s="1"/>
  <c r="F32" i="1"/>
  <c r="E32" i="1" s="1"/>
  <c r="F31" i="1"/>
  <c r="E31" i="1" s="1"/>
  <c r="F30" i="1"/>
  <c r="E30" i="1" s="1"/>
  <c r="F29" i="1"/>
  <c r="E29" i="1" s="1"/>
  <c r="F27" i="1"/>
  <c r="E27" i="1" s="1"/>
  <c r="F26" i="1"/>
  <c r="E26" i="1" s="1"/>
  <c r="F22" i="1"/>
  <c r="E22" i="1" s="1"/>
  <c r="F21" i="1"/>
  <c r="E21" i="1" s="1"/>
  <c r="F20" i="1"/>
  <c r="E20" i="1" s="1"/>
  <c r="F19" i="1"/>
  <c r="E19" i="1" s="1"/>
  <c r="F18" i="1"/>
  <c r="E18" i="1" s="1"/>
  <c r="F17" i="1"/>
  <c r="E17" i="1" s="1"/>
  <c r="F14" i="1"/>
  <c r="E14" i="1" s="1"/>
  <c r="F13" i="1"/>
  <c r="E13" i="1" s="1"/>
  <c r="F11" i="1"/>
  <c r="E11" i="1" s="1"/>
  <c r="F10" i="1"/>
  <c r="E10" i="1" s="1"/>
  <c r="F9" i="1"/>
  <c r="E9" i="1" s="1"/>
  <c r="F8" i="1"/>
  <c r="E8" i="1" s="1"/>
  <c r="F7" i="1"/>
  <c r="E7" i="1" s="1"/>
  <c r="F6" i="1"/>
  <c r="E6" i="1" s="1"/>
  <c r="F4" i="1"/>
  <c r="E4" i="1" s="1"/>
  <c r="F3" i="1"/>
  <c r="E3" i="1" s="1"/>
  <c r="M14" i="2" l="1"/>
  <c r="M18" i="2"/>
  <c r="M22" i="2"/>
  <c r="M26" i="2"/>
  <c r="M30" i="2"/>
  <c r="M34" i="2"/>
  <c r="M38" i="2"/>
  <c r="M42" i="2"/>
  <c r="M46" i="2"/>
  <c r="M50" i="2"/>
  <c r="M54" i="2"/>
  <c r="M58" i="2"/>
  <c r="M62" i="2"/>
  <c r="M66" i="2"/>
  <c r="M70" i="2"/>
  <c r="M74" i="2"/>
  <c r="M78" i="2"/>
  <c r="M82" i="2"/>
  <c r="M86" i="2"/>
  <c r="M90" i="2"/>
  <c r="M94" i="2"/>
  <c r="M98" i="2"/>
  <c r="M102" i="2"/>
  <c r="M106" i="2"/>
  <c r="M110" i="2"/>
  <c r="M114" i="2"/>
  <c r="M118" i="2"/>
  <c r="M122" i="2"/>
  <c r="M126" i="2"/>
  <c r="M130" i="2"/>
  <c r="M134" i="2"/>
  <c r="M138" i="2"/>
  <c r="M142" i="2"/>
  <c r="M146" i="2"/>
  <c r="M150" i="2"/>
  <c r="M154" i="2"/>
  <c r="M158" i="2"/>
  <c r="M162" i="2"/>
  <c r="M166" i="2"/>
  <c r="M170" i="2"/>
  <c r="M174" i="2"/>
  <c r="M178" i="2"/>
  <c r="M182" i="2"/>
  <c r="M186" i="2"/>
  <c r="M190" i="2"/>
  <c r="M194" i="2"/>
  <c r="M198" i="2"/>
  <c r="M202" i="2"/>
  <c r="M206" i="2"/>
  <c r="M210" i="2"/>
  <c r="M214" i="2"/>
  <c r="M218" i="2"/>
  <c r="M222" i="2"/>
  <c r="M226" i="2"/>
  <c r="M230" i="2"/>
  <c r="M234" i="2"/>
  <c r="M238" i="2"/>
  <c r="M242" i="2"/>
  <c r="M246" i="2"/>
  <c r="M250" i="2"/>
  <c r="M254" i="2"/>
  <c r="M258" i="2"/>
  <c r="M262" i="2"/>
  <c r="M266" i="2"/>
  <c r="M270" i="2"/>
  <c r="M15" i="2"/>
  <c r="M19" i="2"/>
  <c r="M23" i="2"/>
  <c r="M27" i="2"/>
  <c r="M31" i="2"/>
  <c r="M35" i="2"/>
  <c r="M39" i="2"/>
  <c r="M43" i="2"/>
  <c r="M47" i="2"/>
  <c r="M51" i="2"/>
  <c r="M55" i="2"/>
  <c r="M59" i="2"/>
  <c r="M63" i="2"/>
  <c r="M67" i="2"/>
  <c r="M71" i="2"/>
  <c r="M75" i="2"/>
  <c r="M79" i="2"/>
  <c r="M83" i="2"/>
  <c r="M87" i="2"/>
  <c r="M91" i="2"/>
  <c r="M268" i="2"/>
  <c r="M216" i="2"/>
  <c r="M16" i="2"/>
  <c r="M24" i="2"/>
  <c r="M32" i="2"/>
  <c r="M40" i="2"/>
  <c r="M48" i="2"/>
  <c r="M56" i="2"/>
  <c r="M64" i="2"/>
  <c r="M72" i="2"/>
  <c r="M80" i="2"/>
  <c r="M88" i="2"/>
  <c r="M95" i="2"/>
  <c r="M100" i="2"/>
  <c r="M105" i="2"/>
  <c r="M111" i="2"/>
  <c r="M116" i="2"/>
  <c r="M121" i="2"/>
  <c r="M127" i="2"/>
  <c r="M132" i="2"/>
  <c r="M137" i="2"/>
  <c r="M143" i="2"/>
  <c r="M148" i="2"/>
  <c r="M153" i="2"/>
  <c r="M159" i="2"/>
  <c r="M164" i="2"/>
  <c r="M169" i="2"/>
  <c r="M175" i="2"/>
  <c r="M180" i="2"/>
  <c r="M185" i="2"/>
  <c r="M191" i="2"/>
  <c r="M196" i="2"/>
  <c r="M201" i="2"/>
  <c r="M207" i="2"/>
  <c r="M212" i="2"/>
  <c r="M217" i="2"/>
  <c r="M223" i="2"/>
  <c r="M228" i="2"/>
  <c r="M233" i="2"/>
  <c r="M239" i="2"/>
  <c r="M244" i="2"/>
  <c r="M249" i="2"/>
  <c r="M255" i="2"/>
  <c r="M260" i="2"/>
  <c r="M265" i="2"/>
  <c r="M271" i="2"/>
  <c r="M17" i="2"/>
  <c r="M25" i="2"/>
  <c r="M33" i="2"/>
  <c r="M41" i="2"/>
  <c r="M49" i="2"/>
  <c r="M57" i="2"/>
  <c r="M65" i="2"/>
  <c r="M73" i="2"/>
  <c r="M81" i="2"/>
  <c r="M89" i="2"/>
  <c r="M96" i="2"/>
  <c r="M101" i="2"/>
  <c r="M107" i="2"/>
  <c r="M112" i="2"/>
  <c r="M117" i="2"/>
  <c r="M123" i="2"/>
  <c r="M128" i="2"/>
  <c r="M133" i="2"/>
  <c r="M139" i="2"/>
  <c r="M144" i="2"/>
  <c r="M149" i="2"/>
  <c r="M155" i="2"/>
  <c r="M160" i="2"/>
  <c r="M165" i="2"/>
  <c r="M171" i="2"/>
  <c r="M176" i="2"/>
  <c r="M181" i="2"/>
  <c r="M187" i="2"/>
  <c r="M192" i="2"/>
  <c r="M197" i="2"/>
  <c r="M203" i="2"/>
  <c r="M208" i="2"/>
  <c r="M213" i="2"/>
  <c r="M219" i="2"/>
  <c r="M224" i="2"/>
  <c r="M229" i="2"/>
  <c r="M235" i="2"/>
  <c r="M240" i="2"/>
  <c r="M245" i="2"/>
  <c r="M251" i="2"/>
  <c r="M256" i="2"/>
  <c r="M261" i="2"/>
  <c r="M267" i="2"/>
  <c r="M272" i="2"/>
  <c r="M12" i="2"/>
  <c r="M20" i="2"/>
  <c r="M28" i="2"/>
  <c r="M36" i="2"/>
  <c r="M44" i="2"/>
  <c r="M52" i="2"/>
  <c r="M60" i="2"/>
  <c r="M68" i="2"/>
  <c r="M76" i="2"/>
  <c r="M84" i="2"/>
  <c r="M92" i="2"/>
  <c r="M97" i="2"/>
  <c r="M103" i="2"/>
  <c r="M108" i="2"/>
  <c r="M113" i="2"/>
  <c r="M119" i="2"/>
  <c r="M124" i="2"/>
  <c r="M129" i="2"/>
  <c r="M135" i="2"/>
  <c r="M140" i="2"/>
  <c r="M145" i="2"/>
  <c r="M151" i="2"/>
  <c r="M156" i="2"/>
  <c r="M161" i="2"/>
  <c r="M167" i="2"/>
  <c r="M172" i="2"/>
  <c r="M177" i="2"/>
  <c r="M183" i="2"/>
  <c r="M188" i="2"/>
  <c r="M193" i="2"/>
  <c r="M199" i="2"/>
  <c r="M204" i="2"/>
  <c r="M209" i="2"/>
  <c r="M215" i="2"/>
  <c r="M220" i="2"/>
  <c r="M225" i="2"/>
  <c r="M231" i="2"/>
  <c r="M236" i="2"/>
  <c r="M241" i="2"/>
  <c r="M247" i="2"/>
  <c r="M252" i="2"/>
  <c r="M257" i="2"/>
  <c r="M263" i="2"/>
  <c r="M13" i="2"/>
  <c r="M21" i="2"/>
  <c r="M29" i="2"/>
  <c r="M37" i="2"/>
  <c r="M45" i="2"/>
  <c r="M53" i="2"/>
  <c r="M61" i="2"/>
  <c r="M69" i="2"/>
  <c r="M77" i="2"/>
  <c r="M85" i="2"/>
  <c r="M93" i="2"/>
  <c r="M99" i="2"/>
  <c r="M104" i="2"/>
  <c r="M109" i="2"/>
  <c r="M115" i="2"/>
  <c r="M120" i="2"/>
  <c r="M125" i="2"/>
  <c r="M131" i="2"/>
  <c r="M136" i="2"/>
  <c r="M141" i="2"/>
  <c r="M147" i="2"/>
  <c r="M152" i="2"/>
  <c r="M157" i="2"/>
  <c r="M163" i="2"/>
  <c r="M168" i="2"/>
  <c r="M173" i="2"/>
  <c r="M179" i="2"/>
  <c r="M184" i="2"/>
  <c r="M189" i="2"/>
  <c r="M195" i="2"/>
  <c r="M200" i="2"/>
  <c r="M205" i="2"/>
  <c r="M211" i="2"/>
  <c r="M221" i="2"/>
  <c r="M227" i="2"/>
  <c r="M232" i="2"/>
  <c r="M237" i="2"/>
  <c r="M243" i="2"/>
  <c r="M248" i="2"/>
  <c r="M264" i="2"/>
  <c r="M269" i="2"/>
  <c r="M253" i="2"/>
  <c r="M259" i="2"/>
  <c r="H10" i="2"/>
  <c r="I10" i="2"/>
</calcChain>
</file>

<file path=xl/sharedStrings.xml><?xml version="1.0" encoding="utf-8"?>
<sst xmlns="http://schemas.openxmlformats.org/spreadsheetml/2006/main" count="3156" uniqueCount="763">
  <si>
    <t>Tender Id</t>
  </si>
  <si>
    <t>Tender No</t>
  </si>
  <si>
    <t>Tender Authority</t>
  </si>
  <si>
    <t>Tender Amount</t>
  </si>
  <si>
    <t>Opening Date</t>
  </si>
  <si>
    <t>Closing Date</t>
  </si>
  <si>
    <t>EMD</t>
  </si>
  <si>
    <t>Location</t>
  </si>
  <si>
    <t>Summary</t>
  </si>
  <si>
    <t>382/Bridkul/Tender-103/2026</t>
  </si>
  <si>
    <t>N-2591039c-f9c4-412c-a07d-38c18ce0df75</t>
  </si>
  <si>
    <t>Bridge Ropeway Tunnel And Other Infrastructure Development Corporation Of Uttarakhand Limited</t>
  </si>
  <si>
    <t>28 Feb 2026</t>
  </si>
  <si>
    <t>18 Mar 2026</t>
  </si>
  <si>
    <t>Additional construction work at COE Block, State Industrial Training Institute, Haldwani, District Nainital</t>
  </si>
  <si>
    <t>Nainital, Uttarakhand</t>
  </si>
  <si>
    <t>58/2025-26</t>
  </si>
  <si>
    <t>N-751d8d9f-f067-4553-a535-82e5221d3f5c</t>
  </si>
  <si>
    <t>Uttarakhand Power Corporation Limited</t>
  </si>
  <si>
    <t>17 Mar 2026</t>
  </si>
  <si>
    <t>Hiring of diesel vehicle with driver for Electricity Distribution Subdivision Landhaura under O&amp;M head. Earnest money deposit is Rs 24000 and tender fee is Rs 500 + GST.</t>
  </si>
  <si>
    <t>Haridwar, Uttarakhand</t>
  </si>
  <si>
    <t>Uttarakhand</t>
  </si>
  <si>
    <t>46/2025-26</t>
  </si>
  <si>
    <t>N-82ea183c-578a-42c9-812d-001b2c278b09</t>
  </si>
  <si>
    <t>16 Mar 2026</t>
  </si>
  <si>
    <t>Security maintenance work of 25/63/100 KVA transformers under Dineshpur sub-center of Gadarpur sub-division under Electricity Distribution Division-II Rudrapur.</t>
  </si>
  <si>
    <t>1092/Tender/2025-26</t>
  </si>
  <si>
    <t>N-8ce5e0eb-644b-4a5f-8cda-4963889fc720</t>
  </si>
  <si>
    <t>Uttarakhand Jal Sansthan</t>
  </si>
  <si>
    <t>Shifting of drinking water pipeline under utility shifting work from New Tehsil to Annapurna Rice Mill in Khatima Assembly Constituency Khatima.</t>
  </si>
  <si>
    <t>Udham Singh Nagar, Uttarakhand</t>
  </si>
  <si>
    <t>45/2025-26</t>
  </si>
  <si>
    <t>N-f5d634a2-28b3-40a1-b476-d4ada078cf76</t>
  </si>
  <si>
    <t>Regarding capacity enhancement of overloaded distribution transformer installed in Dinshapur sub-center under Gadarpur sub-division of the division.</t>
  </si>
  <si>
    <t>47/2025-26</t>
  </si>
  <si>
    <t>N-ff30d218-7107-4612-a7f0-9eec6ef9b0b3</t>
  </si>
  <si>
    <t>Repair and maintenance work of 11 KVA Bagwala feeder originating from Danpur sub-center under Rudrapur-II of Electricity Distribution Division-II Rudrapur.</t>
  </si>
  <si>
    <t>59/2025-26</t>
  </si>
  <si>
    <t>N-0e490f91-0165-4384-8902-538550a6e0bc</t>
  </si>
  <si>
    <t>Sealed tenders in two parts are invited from experienced and reputed contractors registered in Income Tax, GST, EPF and ESI Department for the following work. Diesel vehicle with driver to be hired for Sub-Divisional Officer, Electricity Distribution Sub-Division Jhabreda. Advance security deposit Rs 24000 / and tender value Rs 500 / + GST. Tender documents can be obtained from this office by depositing tender documents in cash / draft till 16.03.2026. Tender documents will be given only after presenting the evidence of successful execution of the work orders done earlier to the contractors working in the division. In case of holiday on the date of opening of the tender, the tenders will be opened on the next working day. The undersigned reserves the right to cancel any or all the tenders.</t>
  </si>
  <si>
    <t>N-0e563e5f-07ef-4da0-a681-7e5f2fb6be9c</t>
  </si>
  <si>
    <t>Hiring of diesel vehicle with driver for Electricity Distribution Subdivision Jhabreda under O&amp;M head. Earnest money deposit is Rs 24000 and tender fee is Rs 500 + GST.</t>
  </si>
  <si>
    <t>56/2025-26</t>
  </si>
  <si>
    <t>N-0e9629a8-95f9-4421-976e-c57d8115ccd3</t>
  </si>
  <si>
    <t>Hiring of diesel vehicle with driver for Executive Engineer, Electricity Distribution Division (Rural) Roorkee under O&amp;M head. Earnest money deposit is Rs 24000 and tender fee is Rs 500 + GST.</t>
  </si>
  <si>
    <t>N-1046e3d5-d93e-4010-a090-959fd0982c92</t>
  </si>
  <si>
    <t>Sealed tenders in two parts are invited from experienced and reputed contractors registered in Income Tax, GST, EPF and ESI Department for the following work. Diesel vehicle with driver to be hired for Executive Engineer, Electricity Distribution Division (Rural) Roorkee. Advance security deposit Rs 24000 / and tender value Rs 500 / + GST. Tender documents can be obtained from this office by depositing tender documents in cash / draft till 16.03.2026. Tender documents will be given only after presenting the evidence of successful execution of the work orders done earlier to the contractors working in the division. In case of holiday on the date of opening of the tender, the tenders will be opened on the next working day. The undersigned reserves the right to cancel any or all the tenders.</t>
  </si>
  <si>
    <t>N-2031f150-ca23-4dd1-836a-fcf8e76b2ddc</t>
  </si>
  <si>
    <t>Utility shifting work under Khatima new tehsil to Annapurna Rice Mill pipeline shifting work.</t>
  </si>
  <si>
    <t>212 /GM(P)/SIIDCUL/2026</t>
  </si>
  <si>
    <t>N-3162b52b-e6ca-40e6-af3f-d6cc9f4e0931</t>
  </si>
  <si>
    <t>State Infrastructure And Industrial Development Corporation Of Uttarakhand Limited</t>
  </si>
  <si>
    <t>Installation Of Tubewell (8 Inches) In Sidcul I.i.e, I.t. Park.</t>
  </si>
  <si>
    <t>Dehradun, Uttarakhand</t>
  </si>
  <si>
    <t>File No. / E-Tender Notice / 2026-1409</t>
  </si>
  <si>
    <t>N-a09e5a83-9e0e-4d5c-8fd0-72b05325973f</t>
  </si>
  <si>
    <t>Uttarakhand Agricultural Produce Marketing Board</t>
  </si>
  <si>
    <t>Road cutting and wall construction work from village Balyuti of Vikas Khand Bhimtal to the house of Shri Kundan Singh in Gram Bhayuni.</t>
  </si>
  <si>
    <t>N-e0b103fa-6352-4607-87ae-c2f473731a46</t>
  </si>
  <si>
    <t>Additional construction work at SIHM, Ramnagar, District Nainital</t>
  </si>
  <si>
    <t>File No.17/ EE (Civil)/RPS/2025-26</t>
  </si>
  <si>
    <t>N-ebf3be57-ef67-4fa1-8bda-db8fdd025ae9</t>
  </si>
  <si>
    <t>Uttarakhand Jal Vidyut Nigam Limited</t>
  </si>
  <si>
    <t>Operation and maintenance including other related works for water supply system for Hydel Colony Kalagarh for a period of twelve months.</t>
  </si>
  <si>
    <t>Pauri Garhwal, Uttarakhand</t>
  </si>
  <si>
    <t>57/2025-26</t>
  </si>
  <si>
    <t>N-ecd5fb37-c95f-47d6-9643-e68fe7a704b9</t>
  </si>
  <si>
    <t>Hiring of diesel vehicle with driver for Electricity Distribution Subdivision Manglaur under O&amp;M head. Earnest money deposit is Rs 24000 and tender fee is Rs 500 + GST.</t>
  </si>
  <si>
    <t>2397/Nivida/39/2025-26</t>
  </si>
  <si>
    <t>N-0a126f04-91a1-4fb3-b43c-f6097e48fd44</t>
  </si>
  <si>
    <t>Rates for hauling water supply through tankers of 1000/2000/3000/5000 liter capacity in drought affected areas of Janpad Uttarkashi for annual rate agreement. Sealed tenders are invited through registered post from experienced contractors. Those who receive the tender by 3:00 PM on the prescribed date of opening of the tender will be opened at 3.30 PM in the presence of the tenderers or their authorized representatives by the undersigned or their representative. Tender forms can be obtained from the office of the undersigned by depositing the prescribed fee on any working day till 4.00 PM of the last date of sale.</t>
  </si>
  <si>
    <t>Uttarkashi, Uttarakhand</t>
  </si>
  <si>
    <t>2397/ Tender/39/2025-26</t>
  </si>
  <si>
    <t>N-47c1c3c9-fc93-45d7-915d-9770a66e2903</t>
  </si>
  <si>
    <t>Rates for transportation of water through tankers with capacity of 1000/2000/3000/5000 liters in drought-affected areas of Janpad Uttarkashi are invited from experienced contractors for annual rate contract through sealed tenders registered by registered post. Tenders that are received in the branch by 3:00 PM on the scheduled date of opening of the tender will be opened at 3:30 PM in the presence of the undersigned or his representative or their representative. Tender forms can be obtained from the office of the undersigned by depositing the prescribed fee on any working day till 4.00 PM of the last sale date. The payment will be made for the distance from the place of filling the tanker to the place of drinking water distribution.</t>
  </si>
  <si>
    <t>N-4d34036e-41ed-456e-83fc-0b998c86ea63</t>
  </si>
  <si>
    <t>Sealed tenders in two parts are invited from experienced and reputed contractors registered in Income Tax, GST, EPF and ESI Department for the following work. Diesel vehicle with driver to be hired for Sub-Divisional Officer, Electricity Distribution Sub-Division Landhaura. Advance security deposit Rs 24000 / and tender value Rs 500 / + GST. Tender documents can be obtained from this office by depositing tender documents in cash / draft till 16.03.2026. Tender documents will be given only after presenting the evidence of successful execution of the work orders done earlier to the contractors working in the division. In case of holiday on the date of opening of the tender, the tenders will be opened on the next working day. The undersigned reserves the right to cancel any or all the tenders.</t>
  </si>
  <si>
    <t>2397/Tender/39/2025-26</t>
  </si>
  <si>
    <t>N-540623be-5136-459a-9c3f-1674f97bdb36</t>
  </si>
  <si>
    <t>Rates For Transportation For Water Supply Through Tankers Of 1000/2000/3000/5000 Liter Capacity In Drought-affected Areas Of Janpad Uttarkashi.</t>
  </si>
  <si>
    <t>N-5793601e-665f-46bb-bbb3-306767bf5475</t>
  </si>
  <si>
    <t>Sealed tenders in two parts are invited from experienced and reputed contractors registered in Income Tax, GST, EPF and ESI Department for the following work. Diesel vehicle with driver to be hired for Sub-Divisional Officer, Electricity Distribution Sub-Division Mangalore. Advance security deposit Rs 24000 / and tender value Rs 500 / + GST. Tender documents can be obtained from this office by depositing tender documents in cash / draft till 16.03.2026. Tender documents will be given only after presenting the evidence of successful execution of the work orders done earlier to the contractors working in the division. In case of holiday on the date of opening of the tender, the tenders will be opened on the next working day. The undersigned reserves the right to cancel any or all the tenders.</t>
  </si>
  <si>
    <t>No.17/Executive Engineer (Anu)/RPS/2025-26</t>
  </si>
  <si>
    <t>N-0df01af6-493d-4334-b0ed-d4f513160797</t>
  </si>
  <si>
    <t>Sealed tenders are invited from eligible bidders by the Office of the Executive Engineer (Anu), Ramganga Hydroelectric House, UJVN Limited, Kalagarh (Pauri Garhwal). Work Name: Drinking water supply system for Highdel Colony Kalagarh for a period of twelve months including operation and maintenance and other related works. Estimated cost: Rs 8,82,662.00 only (GST extra).</t>
  </si>
  <si>
    <t>2917/16-5-2/Auction Notice</t>
  </si>
  <si>
    <t>N-e554b671-973b-470c-8607-4b897df8fd8d</t>
  </si>
  <si>
    <t>Uttarakhand Forest Development Corporation</t>
  </si>
  <si>
    <t>12 Mar 2026</t>
  </si>
  <si>
    <t>Auction Of Timber Available In Timber Depots Under The Sales Division, Dehradun.</t>
  </si>
  <si>
    <t>1602/Advertisement/Tender Notice/2025-26</t>
  </si>
  <si>
    <t>N-6f5cf516-b724-4e4d-836c-d38742ca3388</t>
  </si>
  <si>
    <t>27 Feb 2026</t>
  </si>
  <si>
    <t>10 Mar 2026</t>
  </si>
  <si>
    <t>Short term tender notice for hauling timber, roots and fuel wood at depots located in Tanakpur for felling year 2025-26. Sealed tenders are invited from the registered haulers in all logging divisions under Regional Manager (Kshushe), Uttarakhand Forest Development Corporation, Haldwani. The tenders will be opened on 10.03.2026 at 3:00 PM in the presence of the tenderers present in the office by the committee constituted at the level of Haldwani. Tender forms, terms and details of lots for haulage can be obtained by submitting registration certificate along with GST till 09.03.2026 during any working day from the office. All the documents including the tender form must be submitted by 2:00 PM on 10.03.2026.</t>
  </si>
  <si>
    <t>N-99861088-9985-4dd4-b498-16eb6f87c758</t>
  </si>
  <si>
    <t>Sealed tenders in two parts (first part containing earnest money, rules and conditions, certified copy of first class license issued by Uttarakhand Electrical Inspector, copy of income tax, GST, EPF, and ESIC registration, PAN card etc. and rates in the second part, which are valid for at least 6 months from the date of tender opening) are invited by the undersigned from experienced reputed contractors / firms who have a state government electrical contract license of first class and who are registered under Income Tax, GST, EPF and ESIC for electrical works. Tender documents can be purchased by depositing payment in the office of the undersigned till 15:00 hrs on 16/03/2026 on any working day. The earnest money of the tender should be mortgaged in favor of Executive Engineer, Electricity Distribution Division, Rishikesh in the form of FDR / CDR of any nationalized bank. It is mandatory to be bound after the date of tender publication. Tender Part-2 will not be opened without earnest money. If there is a holiday on the date of tender opening, the tender will be sold and opened on the next working day. The undersigned reserves the full right to cancel the tender without assigning any reason.</t>
  </si>
  <si>
    <t>52/2025-26</t>
  </si>
  <si>
    <t>N-ef9a7511-91df-4f8a-bd35-6c2c58b8f7e1</t>
  </si>
  <si>
    <t>Service connection work in Electricity Distribution Subdivision, construction work of 11 kV, LT line and sub-centers for issuing new power connections to consumers in Munireti and Dhalwala area of 33/11 kV substation Munikireti.</t>
  </si>
  <si>
    <t>Tehri Garhwal, Uttarakhand</t>
  </si>
  <si>
    <t>70 &amp; 73/Vi.Vi.Sam.Ti/2025-26</t>
  </si>
  <si>
    <t>N-0d53f6bc-c03a-414c-8842-10581d6b08b1</t>
  </si>
  <si>
    <t>E-tender date extension notice. The date of opening of e-tender number 70 and 73/Vi.Vi.Sam.Ti/2025-26 has been extended till 12.03.2026. Other terms and conditions will remain the same.</t>
  </si>
  <si>
    <t>53/2025-26</t>
  </si>
  <si>
    <t>N-151952a9-9e44-4b7b-b1c2-4943fea621f4</t>
  </si>
  <si>
    <t>Service connection work in Electricity Distribution Subdivision, construction work of 11 kV, LT line and sub-centers for issuing new power connections to consumers in Goolar area of 33/11 kV substation Munikireti.</t>
  </si>
  <si>
    <t>1194/Tender/2025-26</t>
  </si>
  <si>
    <t>N-23f34705-b342-4cf2-9518-c9e80ae54906</t>
  </si>
  <si>
    <t>26 Feb 2026</t>
  </si>
  <si>
    <t>11 Mar 2026</t>
  </si>
  <si>
    <t>Strengthening And Related Works Of Drinking Water Schemes From Damta To Janki Chatti (road Route) And From Janki Chatti To Shri Yamunotri Dham (foot Route).</t>
  </si>
  <si>
    <t>V.V.Kh /Nai/84/2025-26</t>
  </si>
  <si>
    <t>N-293d221d-cb58-4f74-8e5f-e48378911ce2</t>
  </si>
  <si>
    <t>Sealed tenders are invited from contractors for the following works. The tender will be opened at 15:00 on the same day in front of the present tenderers. In the first part of the tender, the earnest money will be mortgaged in favor of Executive Engineer Electricity Distribution Division Nainital in the form of NSC/FDR/TDR. Also, Uttarakhand Government registered certificate, GST, income tax, EPF, experience certificate and GST and income tax certificate related documents should be received as a verified photocopy of the documents related to material supply. Only tender rates will be received in the second part. Tender forms can be purchased from the office by depositing a bank draft of the following amount one day before the opening. An additional Rs 50.00 will be payable for obtaining the tender form by post. If there is a holiday on the date of tender opening, the tender will be opened on the next working day. The undersigned reserves the right to reject the following tenders without assigning any reason. Note: - Documents related to registration in GST must be attached with the application form at the time of taking the tender.</t>
  </si>
  <si>
    <t>48/2025-26</t>
  </si>
  <si>
    <t>N-2bb9c648-ac3d-499a-8e9b-8d75b437e674</t>
  </si>
  <si>
    <t>70 and 73/Vi.Vi.Manti/2025-26</t>
  </si>
  <si>
    <t>N-9ac9f66b-1400-45cd-8605-d23f8c82bdc8</t>
  </si>
  <si>
    <t>E-Tender date extension notice. E-tender number 70 and 73/Vi.Vi.Manti/2025-26, the tender opening date is extended until 12.03.2026. Other terms and conditions will remain the same.</t>
  </si>
  <si>
    <t>N-c22a1db3-2a98-4464-b47c-c395cbfa8166</t>
  </si>
  <si>
    <t>06/Accounts Section (H) /2025-26</t>
  </si>
  <si>
    <t>N-ed37df17-efc7-4917-9083-0152fa73c4b9</t>
  </si>
  <si>
    <t>Hiring vehicle with driver for 24 months for Executive Engineer Electricity Janpad Section, Haldwani and Sub-Divisional Officer Electricity Janpad Sub-Division, Haldwani/Almora.</t>
  </si>
  <si>
    <t>Almora, Uttarakhand</t>
  </si>
  <si>
    <t>15/Executive Engineer/Vyasi Dam/25-26</t>
  </si>
  <si>
    <t>N-2d090887-06ad-494a-851c-02cd71a5bd85</t>
  </si>
  <si>
    <t>23 Mar 2026</t>
  </si>
  <si>
    <t>Supply and fixing of lightning arrester system at Vyasi Dam Juddo, Dehradun</t>
  </si>
  <si>
    <t>07/Accounts Section (H) /2025-26</t>
  </si>
  <si>
    <t>N-3c86d9d3-8582-4eaf-b207-4e6f403bbcd7</t>
  </si>
  <si>
    <t>Hiring vehicle with driver for 24 months for Sub-Divisional Officer Electricity Janpad Sub-Division, Haldwani/Almora.</t>
  </si>
  <si>
    <t>17/EE(U)/CPH/2025-26</t>
  </si>
  <si>
    <t>N-512fa753-d40d-4ed0-a7d0-7a33a95c543c</t>
  </si>
  <si>
    <t>20 Mar 2026</t>
  </si>
  <si>
    <t>Sealed tenders are invited from interested tenderers by the Office of the Executive Engineer (Production), Chhibro Hydroelectric House, Chhibro (Dehradun).  Work includes identification of potential defects in 69 MVA generator transformers at Chhibro Power House through diagnostics and detailed assessment through engineering analysis, and testing of valuation oil.</t>
  </si>
  <si>
    <t>NUHM/UPHC/Building/2025-26/10452</t>
  </si>
  <si>
    <t>N-781c5ef3-4166-40ca-9670-258e129828fd</t>
  </si>
  <si>
    <t>National Health Mission</t>
  </si>
  <si>
    <t>Tender For Renting Buildings For Operating Urban Primary Health Centers In 06 Urban Areas Of Udham Singh Nagar District (rudrapur-1 Transit Camp, 2-khera 3-rampura, Kashipur-1-alli Khan 2-maheshpura Jaspur-1-nai Basti) Under The National Health Mission From 01 April 2026 To 31 March 2027.</t>
  </si>
  <si>
    <t>Udam Singh Nagar, Uttarakhand</t>
  </si>
  <si>
    <t>08/UREDA/CH/SPP-OnGrid(20Kw)/2025-26</t>
  </si>
  <si>
    <t>N-d13f1c8f-3995-4da5-880d-3d9408cab575</t>
  </si>
  <si>
    <t>Uttarakhand Renewable Energy Development Agency</t>
  </si>
  <si>
    <t>14 Mar 2026</t>
  </si>
  <si>
    <t>Sealed tenders are invited by the undersigned from Design, Supply, Erection, Testing &amp; Commissioning of 20 Kw On-Grid net metering based Solar Power Plant at District Hospital, Gopeshwar (Chamoli) in Uttarakhand including 05 years Warantee &amp; Comprehensive Annual Maintenance Contract. Further details can be seen may be obtained from UREDA PROJECT OFFICE, GOPESHWAR Distt-Chamoli. The financial bids of only those tenderer who qualify in technical bid shall be opened. The undersigned reserves all the rights to reject any or all the tenders without assigning any reason.</t>
  </si>
  <si>
    <t>Chamoli, Uttarakhand</t>
  </si>
  <si>
    <t>17 / EE (U) / CPH / 2025-26</t>
  </si>
  <si>
    <t>N-dbd6e8df-76e3-41e9-b854-10ee3f344e32</t>
  </si>
  <si>
    <t>Inviting sealed tenders from interested tenderers by the Office of the Executive Engineer (Production) Chhibro Hydroelectric House, Chhibro (Dehradun). Detailed evaluation of 69 MVA generator transformers at Chhibro Power House by diagnostics and engineering analysis for identification of potential defects for oil testing.</t>
  </si>
  <si>
    <t>MSTC/NRO/M D POWER TRANSMISSION CORPORATION OF UTTRANCHAL LIMITED/5/KASHIPUR/25-26/66214</t>
  </si>
  <si>
    <t>565436</t>
  </si>
  <si>
    <t>Power Transmission Corporation Of Uttarakhand Limited</t>
  </si>
  <si>
    <t>Auction Sale Of  Lot No : 1 Lot Name : Acsr Zebra Conductor Scrap At 132 Kv S/s Bazpur And Pithoragarh In Kumaon Zone ,</t>
  </si>
  <si>
    <t>GEM/2026/B/7306529</t>
  </si>
  <si>
    <t>Health And Family Welfare Department</t>
  </si>
  <si>
    <t>01 Mar 2026</t>
  </si>
  <si>
    <t>Category: Glucometer Strips (q2) ( Pac Only )</t>
  </si>
  <si>
    <t>19/2025-26</t>
  </si>
  <si>
    <t>2026_UPCL5_92560_1</t>
  </si>
  <si>
    <t>For Supply Of Manpower</t>
  </si>
  <si>
    <t>426/817/57</t>
  </si>
  <si>
    <t>N-0f8c45cc-7923-44ea-bf48-c59fa190e506</t>
  </si>
  <si>
    <t>Pey Jal Nigam Uttarakhand</t>
  </si>
  <si>
    <t>25 Feb 2026</t>
  </si>
  <si>
    <t>Construction of science lab in G.H.S.S. Bhadkot.</t>
  </si>
  <si>
    <t>05/A0A0 (Civil/Mechanical)/Maneri Dam/2025-26</t>
  </si>
  <si>
    <t>N-1146d680-f161-4da4-b31f-680ae90be480</t>
  </si>
  <si>
    <t>19 Mar 2026</t>
  </si>
  <si>
    <t>Annual operation and maintenance of Sirore Irrigation Lift Scheme located in Uttarkashi district.</t>
  </si>
  <si>
    <t>05/AO(Civil/Yantrik)/Maneri Dam/2025-26</t>
  </si>
  <si>
    <t>N-15ea1a4e-df6a-4fa3-b871-9d8f9df58aa2</t>
  </si>
  <si>
    <t>Annual operation and maintenance of Siror Irrigation Lift Scheme located in Uttarkashi district.</t>
  </si>
  <si>
    <t>438/Nivida/20</t>
  </si>
  <si>
    <t>N-2bc43426-675c-4e1a-a689-e872a5b7f677</t>
  </si>
  <si>
    <t>Repair and maintenance/upkeep work of the following pumping drinking water schemes: Package-16: 1. Harchandpur Pumping Drinking Water Scheme. 2. Mohammadpur Jat Pumping Drinking Water Scheme. 3. Nasirpur Afzalpur Pumping Drinking Water Scheme. 4. Nagla China Pumping Drinking Water Scheme.</t>
  </si>
  <si>
    <t>N-306b1194-9568-4f2f-86e1-fee502affb84</t>
  </si>
  <si>
    <t>Construction of computer room in G.H.S.S. Bhadkot.</t>
  </si>
  <si>
    <t>Pu.Pa.No.-516/Advertisement/5</t>
  </si>
  <si>
    <t>N-365ea6a0-4ffb-4c04-9ca5-73a9e9c18e75</t>
  </si>
  <si>
    <t>13 Mar 2026</t>
  </si>
  <si>
    <t>Water distribution work through mules in water scarce areas of Pithoragarh urban area and Vikas Khand Vin / Munakot / Kanalichhina / Gangolihat and Ganai areas under Pithoragarh branch.</t>
  </si>
  <si>
    <t>Pithoragarh, Uttarakhand</t>
  </si>
  <si>
    <t>N-4a6043e0-86af-48a0-9463-6c82f3b96ae4</t>
  </si>
  <si>
    <t>Repair and maintenance/upkeep work of the following pumping drinking water schemes: Package-15: 1. Padli Genda Pumping Drinking Water Scheme. 2. Narsan Khurd Pumping Drinking Water Scheme. 3. Pirpura Pumping Drinking Water Scheme.</t>
  </si>
  <si>
    <t>N-50ce902c-fb75-44c4-abd1-dfa380c9244b</t>
  </si>
  <si>
    <t>Repair and maintenance/upkeep work of the following pumping drinking water schemes: Package-11: 1. Jhabaredi Kalan Pumping Drinking Water Scheme. 2. Udalhedi Kumrada Pumping Drinking Water Scheme. 3. Kabadpur Lodiwala Pumping Drinking Water Scheme. 4. Samaspur Khundewali Pumping Drinking Water Scheme.</t>
  </si>
  <si>
    <t>N-731b7872-053c-42b9-a76b-8fc52792d069</t>
  </si>
  <si>
    <t>Water distribution work for 2000 liter storage capacity PVC tank, PVC pipe and complete fitting and diesel rate per km including driver through Bolero / Camper / Pickup in drought affected Pithoragarh urban area and Vikas Khand Vin / Munakot / Kanalichhina / Gangolihat and Ganai areas under Pithoragarh branch.</t>
  </si>
  <si>
    <t>N-739138a6-220e-41eb-af10-f59ef0e44379</t>
  </si>
  <si>
    <t>Repair and maintenance/upkeep work of the following pumping drinking water schemes: Package-18: 1. Hirahedi Pumping Drinking Water Scheme. 2. Budpur Jat Pumping Drinking Water Scheme. 3. Jhabiran Jat Pumping Drinking Water Scheme. 4. Khatka Pumping Drinking Water Scheme.</t>
  </si>
  <si>
    <t>N-84380fcd-691a-469d-bec2-ec77c9d742f8</t>
  </si>
  <si>
    <t>Repair and maintenance/upkeep work of the following pumping drinking water schemes: Package-17: 1. Hasyampur Pumping Drinking Water Scheme. 2. Thithki Kwadpur Pumping Drinking Water Scheme.</t>
  </si>
  <si>
    <t>N-85eb52c2-90c0-491d-b67d-b7f8a51f731f</t>
  </si>
  <si>
    <t>Repair and maintenance/upkeep work of the following pumping drinking water schemes: Package-08: 1. Gadharona Pumping Drinking Water Scheme. 2. Akbarpur Dhadeki Pumping Drinking Water Scheme. 3. Shikarpur Pumping Drinking Water Scheme.</t>
  </si>
  <si>
    <t>N-9040b957-653b-4df3-8b29-910a2f5fdf94</t>
  </si>
  <si>
    <t>Repair and maintenance/upkeep work of the following pumping drinking water schemes: Package-10: 1. Nakibpur Ghosipura Pumping Drinking Water Scheme. 2. Gopalpur Sikkh Pumping Drinking Water Scheme. 3. Thithola Khempur Pumping Drinking Water Scheme. 4. Jaurasi Jabardastpur Pumping Drinking Water Scheme.</t>
  </si>
  <si>
    <t>N-947b8e8e-b933-4e09-a1d7-1439da5a7f77</t>
  </si>
  <si>
    <t>86/2025-26</t>
  </si>
  <si>
    <t>N-98e6e1da-b77c-4ddf-9a20-4f2624b0ec48</t>
  </si>
  <si>
    <t>E-Tender No. 86/2025-26 which was published by this office, the opening date of which was 26/02/2026, has been extended till 19/03/2026 due to unavoidable reasons. Other conditions will remain as before. Go to www.upcl.org for 24X7 online payment of electricity bills.</t>
  </si>
  <si>
    <t>N-be240a4d-8d69-4e49-bd0d-ade247065943</t>
  </si>
  <si>
    <t>Repair and maintenance/upkeep work of the following pumping drinking water schemes: Package-06: 1. Nagla Salaru Pumping Drinking Water Scheme. 2. Thoi Pumping Drinking Water Scheme. 3. Kagwali Pumping Drinking Water Scheme. 4. Ramnagar Pumping Drinking Water Scheme. 5. Khedajat Pumping Drinking Water Scheme.</t>
  </si>
  <si>
    <t>Uhfs/Rbsk//2025-26</t>
  </si>
  <si>
    <t>N-fac1d366-3d5a-48fb-81a6-9c37bed01412</t>
  </si>
  <si>
    <t xml:space="preserve">Supply Of Scorpio, Bolero And The Vehicle Make Model/registration Should Not Be Before 01 January 2024. </t>
  </si>
  <si>
    <t>GEM/2026/B/7302204</t>
  </si>
  <si>
    <t>Category: Entry And Mid Level Desktop Computer (q2) , Multifunction_x000D_printer (print, Scan, Copy) (q2) , Scanner (v3) (q2)</t>
  </si>
  <si>
    <t>GEM/2026/B/7306089</t>
  </si>
  <si>
    <t>Government Doon Medical College</t>
  </si>
  <si>
    <t>Category: Bio Medical Waste Management Service - Per Bed Basis -_x000D_collection, Transportation, Treatment, Disposal; Medical_x000D_colleges &amp; Institutions; Needle Cutters, Face Mask, Gloves,_x000D_ppe Kits, Chemical Disinfectants, Injections &amp; Needles,_x000D_syringes, Broken Glass..</t>
  </si>
  <si>
    <t>20/2025-26</t>
  </si>
  <si>
    <t>2026_UPCL5_92568_1</t>
  </si>
  <si>
    <t>Supply Of Vehicle</t>
  </si>
  <si>
    <t>17/Nivida/06 Dated 27.02.2026</t>
  </si>
  <si>
    <t>2026_MDPEY_92589_1</t>
  </si>
  <si>
    <t>Repairing Operation And Maintenance Of Vt Pumping Plant Under Kumbh Mela 2027 In Gori Shankar Part01 Water Supply Scheme Haridwar</t>
  </si>
  <si>
    <t>ECD(R)07/2025-26</t>
  </si>
  <si>
    <t>2026_UPCL8_92571_1</t>
  </si>
  <si>
    <t>Providing 1 No Diesel Vehicle For Aes</t>
  </si>
  <si>
    <t>82/25-26 EDD(N)</t>
  </si>
  <si>
    <t>2026_UPCL9_92505_1</t>
  </si>
  <si>
    <t>Supply Of Installation Of Fire Extinguisher, Bucket And Stand For All Substation Of Edd Nainital</t>
  </si>
  <si>
    <t>83/25-26 EDD(N)</t>
  </si>
  <si>
    <t>2026_UPCL9_92506_1</t>
  </si>
  <si>
    <t>Providing Of 02 No Office Assistant For Edd Nainital</t>
  </si>
  <si>
    <t>16/SIIDCUL/HRD/2026</t>
  </si>
  <si>
    <t>2026_SIDCU_92551_1</t>
  </si>
  <si>
    <t>Electrical Infrastructure Work At Iie Siidcul Haridwar, Sector 1a, 1b, 2, 3, 4</t>
  </si>
  <si>
    <t>2026_MDPEY_92598_1</t>
  </si>
  <si>
    <t>Repairing Operation And Maintenance Of Vt Pumping Plant Under Kumbh Mela 2027 In Rodi Belwala 02 Water Supply Scheme Haridwar</t>
  </si>
  <si>
    <t>EDC(USN)73/2025-26</t>
  </si>
  <si>
    <t>2026_UPCL3_92567_1</t>
  </si>
  <si>
    <t>Work Of Doing Mri Of Solar And Kcc Consumers (having Load 05 To 75 Kw) Consumers In Edd Rudrapur-ii Under Etd Rudrapur</t>
  </si>
  <si>
    <t>E- Tender No- CH(Maint.)- 20/2025-26</t>
  </si>
  <si>
    <t>2026_UJVN_92596_1</t>
  </si>
  <si>
    <t>Procurement Of Bearing For Dewatering Pump 9000 Lpm And 4500 Lpm Drainage Pumps Of Chibro Power Station</t>
  </si>
  <si>
    <t>21/2025-26</t>
  </si>
  <si>
    <t>2026_UPCL5_92570_1</t>
  </si>
  <si>
    <t>18/SIIDCUL/HRD/2026</t>
  </si>
  <si>
    <t>2026_SIDCU_92556_1</t>
  </si>
  <si>
    <t>Electrical Infrastructure Work At Iie Siidcul Haridwar, Sector 10, 11, 12</t>
  </si>
  <si>
    <t>2026_MDPEY_92595_1</t>
  </si>
  <si>
    <t>Repairing Operation And Maintenance Of Vt Pumping Plant Under Kumbh Mela 2027 In Neel Dhara Water Supply Scheme Haridwar</t>
  </si>
  <si>
    <t>2026_MDPEY_92599_1</t>
  </si>
  <si>
    <t>Repairing Operation And Maintenance Of Vt Pumping Plant Under Kumbh Mela 2027 In Sati Deep Water Supply Scheme Haridwar</t>
  </si>
  <si>
    <t>23/2025-26</t>
  </si>
  <si>
    <t>2026_UPCL5_92573_1</t>
  </si>
  <si>
    <t>2026_MDPEY_92590_1</t>
  </si>
  <si>
    <t>Repairing Operation And Maintenance Of Vt Pumping Plant Under Kumbh Mela 2027 In Gori Shankar Part02 Water Supply Scheme Haridwar</t>
  </si>
  <si>
    <t>17/SIIDCUL/HRD/2026</t>
  </si>
  <si>
    <t>2026_SIDCU_92554_1</t>
  </si>
  <si>
    <t>Electrical Infrastructure Work At Iie Siidcul Haridwar, Sector 7, 8a, 8b, 8c, Iidc</t>
  </si>
  <si>
    <t>DC(H)/141/2025-26</t>
  </si>
  <si>
    <t>2026_UPCL9_92416_1</t>
  </si>
  <si>
    <t>Providing One Number Of Petrol Car (sedan) For S.e E.d.c Hadwani.</t>
  </si>
  <si>
    <t>2026_MDPEY_92594_1</t>
  </si>
  <si>
    <t>Repairing Operation And Maintenance Of Vt Pumping Plant Under Kumbh Mela 2027 In Lal Ji Wala Water Supply Scheme Haridwar</t>
  </si>
  <si>
    <t>36/EE(M)/MB-II/25-26</t>
  </si>
  <si>
    <t>2026_UJVN_92564_1</t>
  </si>
  <si>
    <t>24 Mar 2026</t>
  </si>
  <si>
    <t>Protecttive Coating Of Under Water Parts</t>
  </si>
  <si>
    <t>22/2025-26</t>
  </si>
  <si>
    <t>2026_UPCL5_92572_1</t>
  </si>
  <si>
    <t>CCP-II/22/2025-2026</t>
  </si>
  <si>
    <t>2026_UPCLC_92541_1</t>
  </si>
  <si>
    <t>09 Mar 2026</t>
  </si>
  <si>
    <t>Supply Of 600 Nos Bis Mark Eel2 New 11/0.433kv 250kva Copper Wound Dtrs Through Rate Contract Of Two Years</t>
  </si>
  <si>
    <t>24/2025-26</t>
  </si>
  <si>
    <t>2026_UPCL5_92574_1</t>
  </si>
  <si>
    <t>2026_MDPEY_92597_1</t>
  </si>
  <si>
    <t>Repairing Operation And Maintenance Of Vt Pumping Plant Under Kumbh Mela 2027 In Rodi Belwala -01 Water Supply Scheme Haridwar</t>
  </si>
  <si>
    <t>163/EDC(H)/2025-26</t>
  </si>
  <si>
    <t>2026_UPCL5_92528_1</t>
  </si>
  <si>
    <t>For Replacement Of Damage</t>
  </si>
  <si>
    <t>2026_MDPEY_92582_1</t>
  </si>
  <si>
    <t>Repairing Operation And Maintenance Of Vt Pumping Plant Under Kumbh Mela 2027 In Daksh Deep Water Supply Scheme Haridwar</t>
  </si>
  <si>
    <t>EDC(USN)72/2025-26</t>
  </si>
  <si>
    <t>2026_UPCL3_92562_1</t>
  </si>
  <si>
    <t>Work Of Doing Mri Of Solar And Kcc Consumers (having Load 05 To 75 Kw) Consumers In Edd Rudrapur-i Under Etd Rudrapur</t>
  </si>
  <si>
    <t>EDC(USN)74/2025-26</t>
  </si>
  <si>
    <t>2026_UPCL3_92577_1</t>
  </si>
  <si>
    <t>Work Of Doing Mri Of Solar And Kcc Consumers (having Load 05 To 75 Kw) Consumers In Edd Kichha Under Etd Rudrapur</t>
  </si>
  <si>
    <t>2026_MDPEY_92580_1</t>
  </si>
  <si>
    <t>Repairing Operation And Maintenance Of Vt Pumping Plant Under Kumbh Mela 2027 In Bairagi Camp Water Supply Scheme Haridwar</t>
  </si>
  <si>
    <t>220/2026</t>
  </si>
  <si>
    <t>2026_UTCL_92553_1</t>
  </si>
  <si>
    <t>Uttarakhand Transport Corporation</t>
  </si>
  <si>
    <t>Tender For Hiring Of Agency For Bus Washing/ Security/cctv Monitoring And Parking/ Cleaning Of Premises With Related Man Power</t>
  </si>
  <si>
    <t>02/UREDA/ Record Room/2025-26</t>
  </si>
  <si>
    <t>2026_UREDA_92518_1</t>
  </si>
  <si>
    <t>Construction Of Record Room In Energy Park Campus Patel Nagar Dehradun</t>
  </si>
  <si>
    <t>MCS/E-Tender/BMW/2025-26/5923</t>
  </si>
  <si>
    <t>2026_VGIMS_92538_1</t>
  </si>
  <si>
    <t>Veer Chandra Singh Garhwali Government Institute Of Medical Science And Research</t>
  </si>
  <si>
    <t>Bio Medical Waste Services In Hospital</t>
  </si>
  <si>
    <t>MCS/E-Tender/LP/2025-26/5922</t>
  </si>
  <si>
    <t>2026_VGIMS_92542_1</t>
  </si>
  <si>
    <t>Purchase Of Local Medicine</t>
  </si>
  <si>
    <t>19/SIIDCUL/HRD/2026</t>
  </si>
  <si>
    <t>2026_SIDCU_92546_1</t>
  </si>
  <si>
    <t>Construction Of Road At Sector 03, Near Plot No 5a1, 5a2, 5a3</t>
  </si>
  <si>
    <t>2026_MDPEY_92591_1</t>
  </si>
  <si>
    <t>Repairing Operation And Maintenance Of Vt Pumping Plant Under Kumbh Mela 2027 In Gori Shankar Part03 Water Supply Scheme Haridwar</t>
  </si>
  <si>
    <t>MSTC/NRO/Uttarakhand Transport Corporation/7/Dehradun/25-26/65837</t>
  </si>
  <si>
    <t>565042</t>
  </si>
  <si>
    <t>23 Feb 2026</t>
  </si>
  <si>
    <t>06 Mar 2026</t>
  </si>
  <si>
    <t>Auction Sale Of  Lot No : 1 Lot Name : 02 Nos Of Elvs Old Used, Waste &amp; Scrap Vehicle Trucks (without Battery) ,</t>
  </si>
  <si>
    <t>15/SIIDCUL/HRD/2025</t>
  </si>
  <si>
    <t>2026_SIDCU_92547_1</t>
  </si>
  <si>
    <t>Electrical Infrastructure Work At Iie Siidcul Haridwar, Sector 5, 5a, 6a, 6b, 3a</t>
  </si>
  <si>
    <t>05/UREDA/Sapteshwar/2025-26</t>
  </si>
  <si>
    <t>2026_UREDA_92501_1</t>
  </si>
  <si>
    <t>Renovation Grid Synchronization And Operation And Maintenance Of Sapteshwar Small Hydro Project (2x150 Kw) In District Champawat (by Deploying Manpower With Supply Of Material And Consumables) For A Period Of Three Years</t>
  </si>
  <si>
    <t>Champawat, Uttarakhand</t>
  </si>
  <si>
    <t>07/EE(Civil-II)/LMP/2025-26</t>
  </si>
  <si>
    <t>2026_UJVN_92487_1</t>
  </si>
  <si>
    <t>Annual Cleaning, Upkeeping, Gardening And Other Miscellaneous Work Of Field Hostel (near Inspection House) Of Lakhwar Project At Dakpathar, Dehradun (year 2026-27)</t>
  </si>
  <si>
    <t>2029/e-Tender/2025-26</t>
  </si>
  <si>
    <t>N-3024cefe-ee92-42d6-9acc-fa686a7dae47</t>
  </si>
  <si>
    <t>Valve operation and maintenance work of Hindolakhal Hisriyakhal Pumping Station Zone-B</t>
  </si>
  <si>
    <t>N-36d65847-a8dc-4645-8a62-b32ea3193dd2</t>
  </si>
  <si>
    <t>Valve operation and maintenance work of Kwili Palkot Pumping Station</t>
  </si>
  <si>
    <t>N-3ea8c57e-a31f-45df-9242-597a7982891d</t>
  </si>
  <si>
    <t>Valve operation and maintenance work of Koteshwar Silkikhal Pumping Station</t>
  </si>
  <si>
    <t>N-414feb9e-6fe9-43aa-8184-4b2b2de1fcc9</t>
  </si>
  <si>
    <t>Valve operation and maintenance work of Hindolakhal Hisriyakhal Pumping Station Zone-A</t>
  </si>
  <si>
    <t>N-622a9c18-07ec-4a44-bc43-4875707b454b</t>
  </si>
  <si>
    <t>Valve operation and maintenance work of Koteshwar-Silkikhal-Chonikhal Pumping Station</t>
  </si>
  <si>
    <t>N-640bd0ec-42eb-4eba-aa43-9ca42c3e786b</t>
  </si>
  <si>
    <t>Valve operation and maintenance work of Surajkund Pumping Pumping Station</t>
  </si>
  <si>
    <t>N-c1fddd05-6bce-47c3-b94f-22fb58146fb2</t>
  </si>
  <si>
    <t>Valve operation and maintenance work of Bhurpur Pumping Station Zone-A</t>
  </si>
  <si>
    <t>N-d79151fd-c3cc-427e-9bbe-2082338347b1</t>
  </si>
  <si>
    <t>Valve operation and maintenance work of Bhurpur Pumping Station Zone-B</t>
  </si>
  <si>
    <t>32/2025-26</t>
  </si>
  <si>
    <t>N-07e0d461-5ea4-471a-bb4f-208645435af2</t>
  </si>
  <si>
    <t>24 Feb 2026</t>
  </si>
  <si>
    <t>Inviting sealed tenders for the following work under O&amp;M head from firms registered with Uttarakhand Government, experienced and reputed contractors registered with Income Tax Department, EPF Department, ESI, Goods and Service Tax Department (GST) and Electrical Safety Department under Electricity Distribution Division Kichha. The sealed tenders are invited in two parts as per the following procedure and will be opened publicly on 16.03.2026 at 16:00 hrs in the presence of the tenderers or their representatives present at 15:30 hrs on the same day by the undersigned or the nominated representative. In the first sealed part of the tender, security deposit in the name of the undersigned in the form of FDR/CDR/TDR of any nationalized bank or National Savings Certificate, Registration Certificate, Income Tax, Service Tax Certificate, A Class Certificate, Employee Provident Fund Certificate, Employee State Insurance Certificate and Permanent Account Number Certificate and annual turnover of last 03 years which is 200% of the tender cost and Electrical related work efficiency certificate is mandatory and rates should be quoted in the second sealed part. The tender without cut-off and conditional and security deposit will not be accepted in any case. Tender forms can be obtained from this office by submitting a bank draft or banker's check of tender value (including GST) one day before the date of tender opening on any working day on submission of the release order in the name of the undersigned. Affidavit relating to not being blacklisted, affidavit of correctness of documents related to the firm, and validity of rates on 100/- stamp paper and work experience certificate of similar works are required. Envelope of Part-1 of the tender, if all the mandatory requirements are not fulfilled, envelope of Part-2 will not be opened. If any public holiday is declared on the date of tender, then all the proceedings of the tender will be completed on the next working day. The undersigned reserves the right to reject or cancel any or all tenders without assigning any reason.</t>
  </si>
  <si>
    <t>436/Tender/24</t>
  </si>
  <si>
    <t>N-0a54878b-afb1-4658-b0e0-c0d0c1ce6691</t>
  </si>
  <si>
    <t>Construction of Biology Lab at GGIC Deval in Janpad Almora.</t>
  </si>
  <si>
    <t>2029/E-Tender/2025-26</t>
  </si>
  <si>
    <t>N-0eff8f48-afec-4773-a2a7-bc204bed32a1</t>
  </si>
  <si>
    <t>Valve operation and maintenance work of Kwili Palkot Pumping Water Scheme</t>
  </si>
  <si>
    <t>161/2025-26</t>
  </si>
  <si>
    <t>N-1e29f1eb-94c4-4851-aa01-2852be94ef6b</t>
  </si>
  <si>
    <t>Work Of Replacing And Strengthening Dilapidated Electric Poles Under Electricity Distribution Division, Nagariya, Haridwar (including Decentralized Material).</t>
  </si>
  <si>
    <t>521 / Vi.Vi.Kha.Ba / Dated 06.02.2026</t>
  </si>
  <si>
    <t>N-1fe53604-2208-4679-af4e-eb26b9dd29a6</t>
  </si>
  <si>
    <t>07 Mar 2026</t>
  </si>
  <si>
    <t>Regarding the extension of the tender numbers 25, 26, 27/25-26, the last date of tender selling was 23.02.2026 and tender opening date was 24.02.2026, which has been extended due to unavoidable reasons. Now the re-selling date is 06.03.2026 and opening date is 07.03.2026. Other rules and conditions will remain the same.</t>
  </si>
  <si>
    <t>02/EE (Civil-R&amp;R-Tehri)/LMP/2026-27</t>
  </si>
  <si>
    <t>N-227f9b30-0d29-4da6-aaf9-1f46aaebd88f</t>
  </si>
  <si>
    <t>N-3c37e1a1-979a-4acf-a112-b411e76d820d</t>
  </si>
  <si>
    <t>N-409ff221-5fa9-4867-a140-2cf95b5d98bf</t>
  </si>
  <si>
    <t>Valve operation and maintenance work of Bharpur Pumping Water Scheme Zone-A</t>
  </si>
  <si>
    <t>N-cb65004c-a60e-43d5-8869-90c2f893c16f</t>
  </si>
  <si>
    <t>Valve operation and maintenance work of Hindolakhal Hisriyalkhal Pumping Water Scheme Zone-B</t>
  </si>
  <si>
    <t>N-cebc6813-9e98-418c-a1c6-bfebd1e72876</t>
  </si>
  <si>
    <t>Valve operation and maintenance work of Koteshwar Silkakhal Pumping Water Scheme</t>
  </si>
  <si>
    <t>N-dd011ea1-cc9f-41a4-ba67-261283aa10dc</t>
  </si>
  <si>
    <t>Valve operation and maintenance work of Sajwan-Kanda Pumping Station.</t>
  </si>
  <si>
    <t>0-05/EE(Civil-IV)/LMP/2025-26</t>
  </si>
  <si>
    <t>N-50e0c835-b322-4c81-9522-02bf62bc45bb</t>
  </si>
  <si>
    <t>Tenders are invited by the office of the Executive Engineer, Lakhwar Project Dakpathar, Dehradun for the following work: Operation of gauge and discharge site on Yamuna river for Lakhwar project. Detailed information can be downloaded from the website.</t>
  </si>
  <si>
    <t>N-5cb11bc1-d6d7-4fae-bf58-83857153bcdf</t>
  </si>
  <si>
    <t>Valve operation and maintenance work of Koteshwar-Jhandidhar Pumping Water Scheme</t>
  </si>
  <si>
    <t>N-5e75ba9e-615f-46db-95d7-b7b1be00ff5f</t>
  </si>
  <si>
    <t>Valve operation and maintenance work of Sajwan-Kanda Pumping Water Scheme</t>
  </si>
  <si>
    <t>N-7de3661b-9e49-4a26-a24b-2068c0093a5d</t>
  </si>
  <si>
    <t>Valve operation and maintenance work of Bharpur Pumping Water Scheme Zone-B</t>
  </si>
  <si>
    <t>N-7f98ebe9-a78d-430a-92f1-4a589b207fdf</t>
  </si>
  <si>
    <t>Valve operation and maintenance work of Surajkund Pumping Water Scheme</t>
  </si>
  <si>
    <t>N-822bc684-bbf5-49c8-b196-c364e0ad96d2</t>
  </si>
  <si>
    <t>Valve operation and maintenance work of Koteshwar-Silkakhal-Chonikhal Pumping Water Scheme</t>
  </si>
  <si>
    <t>17/EE(CM)/DDN/2025-26</t>
  </si>
  <si>
    <t>N-8eabe608-4e3b-483a-b018-06ba93d6d5c7</t>
  </si>
  <si>
    <t>Office of the Executive Engineer (Civil-Maintenance), Yamuna Bhawan, Yamuna Colony, Dehradun invites sealed tenders from interested parties. Brief summary of tender is given below: Name of work:- M&amp;R of Type -I Residences of UJVN Ltd. at Yamuna colony, Dehradun. For full &amp; further details, kindly visit our website. The tender documents can be downloaded from the Nigam's website.</t>
  </si>
  <si>
    <t>N-8f3c96c2-7d2d-4671-b10d-07d0ceb88e2b</t>
  </si>
  <si>
    <t>Construction of library room at GIC Bedgaon in Janpad Almora.</t>
  </si>
  <si>
    <t>N-9e35358c-6bdf-46fc-8695-bc22cbc2fe9b</t>
  </si>
  <si>
    <t>Construction of computer room at GIC Bedgaon in Janpad Almora.</t>
  </si>
  <si>
    <t>61/V.V.M.Ti/2025-26</t>
  </si>
  <si>
    <t>N-acf7f95e-2cfc-4d96-b03c-b867d9b4117f</t>
  </si>
  <si>
    <t>E-tender number 61/V.V.M.Ti/2025-26 published earlier by this division, the tender opening date is extended till 06.03.2026. Other terms and conditions will remain the same.</t>
  </si>
  <si>
    <t>N-afe4eeda-ff8c-4824-8dd9-89c5d1e41541</t>
  </si>
  <si>
    <t>Construction of men's toilet at GIC Deval in Janpad Almora.</t>
  </si>
  <si>
    <t>N-c1d6720c-a75b-4bde-90a9-96d19577598c</t>
  </si>
  <si>
    <t>Valve operation and maintenance work of Koteshwar-Jhandidhar Pumping Station</t>
  </si>
  <si>
    <t>61/Electrical Distribution Division Tehri/2025-26</t>
  </si>
  <si>
    <t>N-e886069c-de13-4518-8fe6-cbb4460829b9</t>
  </si>
  <si>
    <t>E-Tender No. 61/Electrical Distribution Division Tehri/2025-26, the tender opening date is extended until 06.03.2026. Other terms and conditions will remain the same.</t>
  </si>
  <si>
    <t>0-05/EE (Civil-IV)/LMP/2025-26</t>
  </si>
  <si>
    <t>N-ea09311c-06ef-4bff-af5a-4d31a9c68f1e</t>
  </si>
  <si>
    <t>Tenders are invited by the office of the Executive Engineer, Lakhwar Project Dakpathar, Dehradun for the following work. Operation of gauge and discharge site on Yamuna river for Lakhwar project.</t>
  </si>
  <si>
    <t>N-f057b984-5fe7-477b-976c-19033c899201</t>
  </si>
  <si>
    <t>Valve operation and maintenance work of Hindolakhal Hisriyalkhal Pumping Water Scheme Zone-A</t>
  </si>
  <si>
    <t>788/Nivida(Garh)Srinagar/14 Dt 25/02/2026</t>
  </si>
  <si>
    <t>2026_MDPEY_92509_1</t>
  </si>
  <si>
    <t>Construction Of Acr, Security Post And Admin Building Repair And Maintenance Work At Diet Gauchar Block-karanprayag, Distt-chamoli</t>
  </si>
  <si>
    <t>Rudraprayag, Uttarakhand</t>
  </si>
  <si>
    <t>08/IT/UPCL/2025-26 dated 25-02-2026</t>
  </si>
  <si>
    <t>2026_UPCL2_92512_1</t>
  </si>
  <si>
    <t>Installation And Commissioning Of Chemical Rod Earthing For It Network Router And Equipment At Various Field Offices</t>
  </si>
  <si>
    <t>10/UJVNL/EE(IandP-II)/2025-26</t>
  </si>
  <si>
    <t>2026_UJVN_92513_1</t>
  </si>
  <si>
    <t>Preparation Of Draft Bid Document For Execution Of Ichari Pump Storage Project (600 Mw) On Epc/turnkey Contract Basis Including Obtaining All Necessary Clearance On Behalf Of Ujvnl For Implementation Of The Project</t>
  </si>
  <si>
    <t>162/EDC(H)/2025-26</t>
  </si>
  <si>
    <t>2026_UPCL5_92514_1</t>
  </si>
  <si>
    <t>For Supply And Installation Acb</t>
  </si>
  <si>
    <t>08/2025-26/EDD(Kh)</t>
  </si>
  <si>
    <t>2026_UPCL3_92472_2</t>
  </si>
  <si>
    <t>Supply Of Decentralized Material For Releasing New Connection Under 33/11 Kv Sub Station Jhankat.</t>
  </si>
  <si>
    <t>18/EE(CM)/DDN/2025-26</t>
  </si>
  <si>
    <t>2026_UJVN_92399_1</t>
  </si>
  <si>
    <t>Housekeeping Service For New Corporate Office Building Ujjwal Maharani Bagh Dehradun, For The Year 2025-26.</t>
  </si>
  <si>
    <t>Letter No 720/NIVIDA/25 dated 25.02.2026</t>
  </si>
  <si>
    <t>2026_MDPEY_92493_1</t>
  </si>
  <si>
    <t>Construction Of Tube Wells Pump House Oht And Laying And Jointing Of Rising Main And Distribution System Including Supply Of All Materials Labour For Proper Completion Of Work Of Danda Khudanewala Part-2 Water Supply Scheme Under Sasci Programme</t>
  </si>
  <si>
    <t>2020/e-Tender/2025-26</t>
  </si>
  <si>
    <t>N-047e95a5-ade6-462d-907b-b8a311a642c5</t>
  </si>
  <si>
    <t>Inviting e-tenders (double bid system) for supply of skilled human resources to registered / contractor firms of "D" and higher category in E&amp;M Work Category in Uttarakhand Jal Sansthan for annual operation and maintenance works of pumping plants of various pumping drinking water schemes maintained by Branch Devprayag in Janpad Tehri Garhwal on behalf of Chief General Manager, Uttarakhand Jal Sansthan Dehradun.</t>
  </si>
  <si>
    <t>N-074ceda8-3658-4183-a8a7-62723eca78e4</t>
  </si>
  <si>
    <t>N-132f07c1-22c5-4211-9e36-3c2ecc41ee43</t>
  </si>
  <si>
    <t>Tender No 0-22/AO(Civil/Yarn)/SHP/Rishikesh/2025-26</t>
  </si>
  <si>
    <t>N-17a87a61-63d9-4700-802b-5ad819ca7e21</t>
  </si>
  <si>
    <t>Design, supply, installation, testing and supply of motorized isolator, establishment, testing and testing of PT, CT and LA.</t>
  </si>
  <si>
    <t>N-1ec90898-4ea0-43c2-84da-890aafec0e57</t>
  </si>
  <si>
    <t>2020/E-Tender/2025-26</t>
  </si>
  <si>
    <t>N-3417ce5b-d247-4cdb-bf74-a26e0c65026a</t>
  </si>
  <si>
    <t>Koteshwar Silkakhal Pumping Project</t>
  </si>
  <si>
    <t>N-3d1945c5-df31-4549-82f8-c906160a59c2</t>
  </si>
  <si>
    <t>Hindolakhal Hisriyakhal Pumping Project</t>
  </si>
  <si>
    <t>N-3fc6e9e9-5c40-4bbd-8915-95c1401ef5a9</t>
  </si>
  <si>
    <t>17/EE(C-M)/DDN/2025-26</t>
  </si>
  <si>
    <t>N-0eb0bd64-1ced-485a-8616-debb4fd215a5</t>
  </si>
  <si>
    <t>Sealed tenders are invited from the interested tenderers by the Office of the Executive Engineer (Janpad-Anurakshan), Yamuna Bhawan, Yamuna Colony, Dehradun. Work of Maintenance and repair work of first class houses of UJVN Limited located in Yamuna Colony. Estimated Cost: Rs 20.10 Lakh (GST Extra). Availability of tender form on website: from 25.02.2026 at 14.00 hrs. Last date for submission of tender: 18.03.2026 till 14.00 hrs. For other information please visit our website. Tender form can be downloaded from corporation website www.ujvnl.com</t>
  </si>
  <si>
    <t>Tender No. 0-22/ A0A0 (VI0/ YA0) / SHP / Rishikesh / 2025-26</t>
  </si>
  <si>
    <t>N-1c43c06b-9237-4db0-97ad-777861edb710</t>
  </si>
  <si>
    <t>Design, supply, installation, testing of motorized isolator and supply, installation and testing of PT, CT and LA at Ram Prasad Nautiyal Lojavio (2x750 kW) located in Pauri Garhwal district.</t>
  </si>
  <si>
    <t>N-75227f9f-a93d-4dcd-8784-4b8a45fa546d</t>
  </si>
  <si>
    <t>Kweeli Pumping Palkot Project</t>
  </si>
  <si>
    <t>N-7bc7e974-ac6b-41c1-b5d9-3b0d0d1ce17e</t>
  </si>
  <si>
    <t>05 / EE (IT-II)/ Dehradun / 2025-26</t>
  </si>
  <si>
    <t>N-778aa859-1c05-4d48-a7e9-74de6625c004</t>
  </si>
  <si>
    <t>05 Mar 2026</t>
  </si>
  <si>
    <t>Tender specification No- 05 / EE (IT-II)/ Dehradun / 2025-26 is extended till 05.03.2026 (16:00 hours) due to unavoidable reasons. All other rules and conditions related to the tender will remain the same. Contact +91-7088112452 for information related to e-tender.</t>
  </si>
  <si>
    <t>94/2025-26</t>
  </si>
  <si>
    <t>N-8242f10a-3411-4e05-871f-b36b3741a432</t>
  </si>
  <si>
    <t>Work For Additional Capacity Of 100 KVA Transformer at PTW Jagjeetpur Feeder Under 33/11 KV S/S Bhattipur Under EDD Laksar</t>
  </si>
  <si>
    <t>N-c701234a-82ba-44fd-ad84-9ddb127555d3</t>
  </si>
  <si>
    <t>12/EE/PCM-DKP/TN/2025-26, 13/EE/PCM-DKP/TN/2025-26, 14/EE/PCM-DKP/TN/2025-26, &amp;15/EE/PCM-DKP/TN/2025-26</t>
  </si>
  <si>
    <t>N-d1dc1079-ec84-4645-90c1-5fdd462ed6da</t>
  </si>
  <si>
    <t>N-d7af583e-b366-4f2c-95c1-2fb0a48d1417</t>
  </si>
  <si>
    <t>Tender specification No-05 / EE (IT-II)/ Dehradun / 2025-26 is extended until 05.03.2026 (16:00) due to unavoidable reasons. All other tender related rules and conditions will remain the same. Contact +91-7088112452 for e-tender related information.</t>
  </si>
  <si>
    <t>N-dce70b28-f5e3-43db-93f4-344452b64bf0</t>
  </si>
  <si>
    <t>Koteshwar-Silkakhal-Chonikhal Pumping Project</t>
  </si>
  <si>
    <t>N-e1ff0a7c-f979-4036-bf4d-d67a7155b1ba</t>
  </si>
  <si>
    <t>Sajwan-Kanda Pumping Scheme Pumping Project</t>
  </si>
  <si>
    <t>95/2025-26</t>
  </si>
  <si>
    <t>N-b648817f-cf78-422a-a3a0-c97f17b9ce1a</t>
  </si>
  <si>
    <t>Work For Repairing &amp; Maintenance of 25 KVA Transformer on Site Under 33/11 KV S/S Laksar EDD Laksar</t>
  </si>
  <si>
    <t>249/Tender/16</t>
  </si>
  <si>
    <t>N-b931f9e9-0fd8-414a-b8ba-8f15a1354d13</t>
  </si>
  <si>
    <t>Strengthening work of Devinagar drinking water scheme. Tender document must be submitted with a non-judicial stamp paper of Rs. 100.00 and a revenue ticket of Rs. 1.00. An affidavit of minimum 60 days validity must be submitted. The tender will be opened on the next working day if the last date of tender sale/receipt is a holiday. The earnest money must be attached in the form of a pledged F.D./R/CDR/Bank Guarantee/NSC in the name of the undersigned in any nationalized bank/post office. The tender will not be considered without the earnest money, which must be submitted at the branch office at the time of purchase of the tender. The contractor must be present in person at the branch office to purchase the tender. The quantity of work may be increased or decreased according to the site. All the work of the scheme must be completed before the commencement of summer. The tenderer must submit proof of being GST active and having no outstanding dues related to GST along with the tender. If any tenderer is found not to be GST active, his tender will be rejected. Action for payment will be taken only after receipt of funds in the branch for the said work.</t>
  </si>
  <si>
    <t>04/EE(E&amp;M)/DKP BRG/2025-26</t>
  </si>
  <si>
    <t>N-d5dd9cd0-af42-4a51-99c0-bd1ce40cb404</t>
  </si>
  <si>
    <t>Invites sealed tenders from interested tenderers for hydraulic maintenance of trash rack cleaning machine (TRCM) installed at Dakpathar Barrage.</t>
  </si>
  <si>
    <t>58/EDD(M)/2025-26</t>
  </si>
  <si>
    <t>N-e8e088f8-6ce6-4b05-b530-ad8976b6bffe</t>
  </si>
  <si>
    <t>Tender No -58/EDD(M)/2025-26, which was fixed for 24.02.2026, is extended due to unavoidable reasons. Accordingly, tender forms can be purchased till 05.03.2026 and the tender will be opened on 06.03.2026. The remaining terms and conditions will remain the same.</t>
  </si>
  <si>
    <t>N-5c27414a-b0c6-4511-aab3-b00f348b3868</t>
  </si>
  <si>
    <t>Inviting e-tenders (double bid system) for supply of skilled manpower resources from registered/contractor firms of "D" and higher category in E&amp;M Work Category for annual operation and maintenance works of pumping plants of various pumping drinking water schemes maintained by Branch Devprayag in District Tehri Garhwal on behalf of Chief General Manager, Uttarakhand Water Institute Dehradun.</t>
  </si>
  <si>
    <t>N-6e8d8b7e-7c19-4728-a801-78bfef99ea2c</t>
  </si>
  <si>
    <t>N-3c49e615-f5f9-473b-8fd5-c02b6eec4f8b</t>
  </si>
  <si>
    <t>N-8c6af5b2-ff17-4010-929c-9489b22b3730</t>
  </si>
  <si>
    <t>Koteshwar-Jhandidhar Pumping Project</t>
  </si>
  <si>
    <t>N-acc7c7c8-2021-473c-98f6-d157257b512d</t>
  </si>
  <si>
    <t>N-8cb82fbd-ea3a-4560-a7a7-58a6eba5a3ea</t>
  </si>
  <si>
    <t>17/EE (C-M)/DDN/2025-26</t>
  </si>
  <si>
    <t>N-8d078776-ef24-4715-afe2-c6090f956daa</t>
  </si>
  <si>
    <t>Maintenance and repair work of the first class residences of UJVN Limited located in Yamuna Colony.</t>
  </si>
  <si>
    <t>N-df999632-bb1d-46c2-90fe-5833773aab85</t>
  </si>
  <si>
    <t>Surajkund Pumping Project</t>
  </si>
  <si>
    <t>N-e87c0166-429b-493b-bf68-f3c5e57657a6</t>
  </si>
  <si>
    <t>Bharpura Pumping Project</t>
  </si>
  <si>
    <t>GEM/2026/B/7213102</t>
  </si>
  <si>
    <t>Uttarakhand Electricity Regulatory Commission</t>
  </si>
  <si>
    <t>Category: Single Drive Cover Unit , Double Drive Cover Unit ,_x000D_channel 2400 Mm , Hinge Door Pair 1200 , Rollout_x000D_shelf 1200</t>
  </si>
  <si>
    <t>Tender No.53/EDC(U)/2025-26</t>
  </si>
  <si>
    <t>2026_UPCL4_92491_1</t>
  </si>
  <si>
    <t>Work Related Electrical Network Modification On Road Under Edd(south), Dehradun.</t>
  </si>
  <si>
    <t>CE/OandM/PTCUL/HLD/62/2025-26</t>
  </si>
  <si>
    <t>2026_PTC21_92488_1</t>
  </si>
  <si>
    <t>28 Mar 2026</t>
  </si>
  <si>
    <t>Construction Work Of New Revetment Wall At Tower No. 132 Of 132kv Ramnagar-kashipur Line Under Oandm Division, Ptcul, Kashipur</t>
  </si>
  <si>
    <t>E Tender No 53/EDD(Bazpur)/2025-26</t>
  </si>
  <si>
    <t>2026_UPCL9_92342_1</t>
  </si>
  <si>
    <t>E Tender No 53/edd(bazpur)2025-26</t>
  </si>
  <si>
    <t>29/EDD(B)/2025-26</t>
  </si>
  <si>
    <t>2026_UPCL9_92464_1</t>
  </si>
  <si>
    <t>Supply And Work For Construction Of Ht &amp; Lt Line Alongwith 25 Kva T/f At Vill-chona Under Edsd Bhikiyasain Under Head Si 2025-26</t>
  </si>
  <si>
    <t>31/EDD(B)/2025-26</t>
  </si>
  <si>
    <t>2026_UPCL9_92466_1</t>
  </si>
  <si>
    <t>31/edd(b)/2025-26</t>
  </si>
  <si>
    <t>EDC(USN)68/2025-26</t>
  </si>
  <si>
    <t>2026_UPCL3_92473_1</t>
  </si>
  <si>
    <t>Annual Maintenance Work Of 33 Kv/11 Kv/lt Lines, 11/0.4 Kv Sub Stations, Handling Of Consumer Complaints, Releasing Of New Connection, Disconnection Of Defaulter Consumers Etc An Operation Of 33/11 Kv S/s Gangapur Section Under Edd-i, Rudrapur</t>
  </si>
  <si>
    <t>CE/OandM/PTCUL/HLD/58/2025-26</t>
  </si>
  <si>
    <t>2026_PTC21_92482_1</t>
  </si>
  <si>
    <t>Annual Hot Spot Scanning Of 400kv Kashipur-moradabad And 400kv Kashipur-nehatur Line At 400kv S/s, Kashipur Under 400kv Oandm Division, Ptcul, Kashipur</t>
  </si>
  <si>
    <t>ETD(H)/17/2025-26</t>
  </si>
  <si>
    <t>2026_UPCL9_92495_1</t>
  </si>
  <si>
    <t>Supply Of Universal Portable Electronic Reference Sub Standard Energy Meter</t>
  </si>
  <si>
    <t>CE/OandM/PTCUL/HLD/57/2025-26</t>
  </si>
  <si>
    <t>2026_PTC21_92481_1</t>
  </si>
  <si>
    <t>Water Proofing Of Roof Of Control Room Building At 400kv S/s, Kashipur Under 400kv Oandm Division, Ptcul, Kashipur</t>
  </si>
  <si>
    <t>28/EDD(B)/2025-26</t>
  </si>
  <si>
    <t>2026_UPCL9_92463_1</t>
  </si>
  <si>
    <t>28/edd(b)/2025-26</t>
  </si>
  <si>
    <t>EDC(USN)70/2025-26</t>
  </si>
  <si>
    <t>2026_UPCL3_92475_1</t>
  </si>
  <si>
    <t>Annual Maintenance Work Of 33 Kv/11 Kv /lt Lines, 11/0.4 Kv Sub Stations, Handling Of Consumer Complaints, Releasing Of New Connection, Disconnection Of Defaulter Consumers Etc And Operation Of 33/11 Kv S/s Sector-2, Sidcul Under Edd-i Rudrapur</t>
  </si>
  <si>
    <t>CE/OandM/PTCUL/HLD/61/2025-26</t>
  </si>
  <si>
    <t>2026_PTC21_92486_1</t>
  </si>
  <si>
    <t>Assistance In Carrying Out Miscellaneous Routine And Preventive Maintenance Work Of 132kv Transmission Line Under Oandm Division, Ptcul, Kashipur</t>
  </si>
  <si>
    <t>CE/OandM/PTCUL/HLD/64/2025-26</t>
  </si>
  <si>
    <t>2026_PTC21_92492_1</t>
  </si>
  <si>
    <t>Replacement Of Disc Insulator Strings Of Various Location Of 132kv Kashipur(400kv)-bazpur D/c Line Connected At 132kv S/s, Bazpur Under Oandm Division, Ptcul, Kashipur</t>
  </si>
  <si>
    <t>EDC(USN)71/2025-26</t>
  </si>
  <si>
    <t>2026_UPCL3_92477_1</t>
  </si>
  <si>
    <t>Annual Maintenance Work Of 33 Kv/11 Kv /lt, 11/0.4 Kv Sub Stations, Handling Of Consumer Complaints, Releasing Of New Connection, Disconnection Of Defaulter Consumers Etc And Operation Of 33/11 Kv S/s Sector-07, Sidcul, Under Edd Rudrapur-i</t>
  </si>
  <si>
    <t>E Tender No 52/EDD(Bazpur)/2025-26</t>
  </si>
  <si>
    <t>2026_UPCL9_92323_1</t>
  </si>
  <si>
    <t>E Tender No 52/edd(bazpur)2025-26</t>
  </si>
  <si>
    <t>12/2025-26/EDD(KH)</t>
  </si>
  <si>
    <t>2026_UPCL3_92470_1</t>
  </si>
  <si>
    <t>Construction Of Lt / Ht Line And Installation Of Dtr And Other Work For Releasing New Connection Under 33/11 Kv Substation Kanjabag And Khatima Town Of Edd Upcl Khatima</t>
  </si>
  <si>
    <t>E Tender No 50/EDD(Bazpur)/2025-26</t>
  </si>
  <si>
    <t>2026_UPCL9_92308_1</t>
  </si>
  <si>
    <t>E Tender No 50/edd(bazpur)2025-26</t>
  </si>
  <si>
    <t>01/PMU/U-PREPARE/Vehicles/2026</t>
  </si>
  <si>
    <t>2026_GRID1_92494_1</t>
  </si>
  <si>
    <t>Uttarakhand State Disaster Management Authority</t>
  </si>
  <si>
    <t>Hiring Of Vehicles For Uttarakhand Disaster Preparedness And Resilience Project (uprepare)</t>
  </si>
  <si>
    <t>27/EDD(B)/2025-26</t>
  </si>
  <si>
    <t>2026_UPCL9_92462_1</t>
  </si>
  <si>
    <t>27/edd(b)/2025-26</t>
  </si>
  <si>
    <t>E Tender No 54/EDD(Bazpur)/2025-26</t>
  </si>
  <si>
    <t>2026_UPCL9_92343_1</t>
  </si>
  <si>
    <t>E Tender No 54/edd(bazpur)2025-26</t>
  </si>
  <si>
    <t>CE/OandM/PTCUL/HLD/59/2025-26</t>
  </si>
  <si>
    <t>2026_PTC21_92483_1</t>
  </si>
  <si>
    <t xml:space="preserve">Repairing, Replacement And Painting Of M.s. Angle Of Cable Trenches Of Transformer And Line Bays Of Switchyard At 400kv S/s, </t>
  </si>
  <si>
    <t>E Tender No 49/EDD(Bazpur)/2025-26</t>
  </si>
  <si>
    <t>2026_UPCL9_92298_1</t>
  </si>
  <si>
    <t>E Tender No 49/edd(bazpur)2025-26</t>
  </si>
  <si>
    <t>30/EDD(B)/2025-26</t>
  </si>
  <si>
    <t>2026_UPCL9_92465_1</t>
  </si>
  <si>
    <t>30/edd(b)/2025-26</t>
  </si>
  <si>
    <t>CE/OandM/PTCUL/HLD/60/2025-26</t>
  </si>
  <si>
    <t>2026_PTC21_92484_1</t>
  </si>
  <si>
    <t>Supply And Fixing Of Line Material And Restringing Of Broken Earth Wire Between Tower No. 51 To Tower No. 55 Of 132kv Ramnagar-kashipur, 132kv Ramnagar-kalagarh Line D/c Under Oandm Division, Ptcul, Kashipur</t>
  </si>
  <si>
    <t>E Tender No 48/EDD(Bazpur)/2025-26</t>
  </si>
  <si>
    <t>2026_UPCL9_92282_1</t>
  </si>
  <si>
    <t>E Tender No 48/edd(bazpur)2025-26</t>
  </si>
  <si>
    <t>e-tender No 11/EE(E N M-II)/LP/2025-26</t>
  </si>
  <si>
    <t>2026_UJVN_92469_1</t>
  </si>
  <si>
    <t>21 Mar 2026</t>
  </si>
  <si>
    <t>Amc 33/11 Kv Hathiyari Substation</t>
  </si>
  <si>
    <t>E Tender No 51/EDD(Bazpur)/2025-26</t>
  </si>
  <si>
    <t>2026_UPCL9_92318_1</t>
  </si>
  <si>
    <t>E Tender No 51/edd(bazpur)2025-26</t>
  </si>
  <si>
    <t>E Tender No 55/EDD(Bazpur)/2025-26</t>
  </si>
  <si>
    <t>2026_UPCL9_92345_1</t>
  </si>
  <si>
    <t>E Tender No 55/edd(bazpur)2025-26</t>
  </si>
  <si>
    <t>CE/OandM/PTCUL/HLD/63/2025-26</t>
  </si>
  <si>
    <t>2026_PTC21_92490_1</t>
  </si>
  <si>
    <t>Re-strengthening Of Rusted Tower Legs At Various Tower Of 132kv Kalagarh-ramnagar Line And 132kv Kashipur-ramnagar Line Under Oandm Division, Ptcul, Kashipur</t>
  </si>
  <si>
    <t>EDC(USN)69/2025-26</t>
  </si>
  <si>
    <t>2026_UPCL3_92474_1</t>
  </si>
  <si>
    <t>Testing Of 1phase, 3phase, Lt Ct And Ht Ct Meters Using Nabl Accredited Instrument With Report Under Etd, Rudrapur</t>
  </si>
  <si>
    <t>03/DGM02/2025-26</t>
  </si>
  <si>
    <t>2026_UPDC4_92379_1</t>
  </si>
  <si>
    <t>Uttarakhand Project Development And Construction Corporation Limited</t>
  </si>
  <si>
    <t>27 Mar 2026</t>
  </si>
  <si>
    <t>Develpoment Of Rehabilitation Site And Construction Of Various Infrastructures (community Centre, Temple, Flats, Convenient Shops, Sewerage, Drainage And Water Supply Work Etc) At Rainapur Grant, Tehsil Rishikesh, Distt. Dehradun.</t>
  </si>
  <si>
    <t>495/nivida udham singh nagar/ 98 dated 25/02/2026</t>
  </si>
  <si>
    <t>2026_MDPEY_92447_1</t>
  </si>
  <si>
    <t>Construction Of Boundary Wall, Internal Road And Drain Channel At Govt. Polytechnic Khatima, District Udham Singh Nagar</t>
  </si>
  <si>
    <t>13/AOAO(Civil/Hydel-SHP)/Madhyamaheshwar/2025-26</t>
  </si>
  <si>
    <t>N-41d8bbb1-9740-4322-bbd1-0de6a9c7bead</t>
  </si>
  <si>
    <t>Supply, installation, testing and commissioning of 10 KVA Redundant UPS in Madhyamaheshwar SHP, Tehsil Ukhimath, Rudraprayag district.</t>
  </si>
  <si>
    <t>Miscellaneous/Auction/2025-26/2473-75</t>
  </si>
  <si>
    <t>N-77b7eeeb-7bfa-45c5-b473-7f146449eb81</t>
  </si>
  <si>
    <t>Auction For The Disposal Of Unserviceable/unusable Materials Like Furniture/machines/equipment/office Equipment Etc. At Women's Hospital Haldwani.</t>
  </si>
  <si>
    <t>13/AA(Civil/Year-SHP)/Madhyamaheshwar/2025-26</t>
  </si>
  <si>
    <t>N-9f3ad24f-f3d0-4b45-a50f-775eb277bf7c</t>
  </si>
  <si>
    <t>Supply, installation, testing, and commissioning of 10 KVA Redundant UPS at Madhyamaheshwar SHP, Tehsil Ukhimath, District Rudraprayag.</t>
  </si>
  <si>
    <t>01/Accounts Division (No.)/2025-26, 02/Accounts Division (No.)/2025-26 and 03/Accounts Division (No.)/2025-26</t>
  </si>
  <si>
    <t>N-ca13b9ee-ad13-4359-bada-7f1d315e4b03</t>
  </si>
  <si>
    <t>Tender date is extended due to unavoidable reasons. The date of purchasing the tender is 06.03.2026 (till 12:00 PM) and the date of opening the tender is extended till 06.03.2026 (from 15:30 PM). The terms and conditions of the tender will remain the same as before.</t>
  </si>
  <si>
    <t>N-b229e1aa-9f34-4713-a0bb-eae7273104f9</t>
  </si>
  <si>
    <t>1) Construction of guard room and gate at the entrance of the surge tank of Khodri Power House near Khodri Kilod Road. 2) Sweeping and cleaning work in New Yamuna Colony located in Dakpathar. 3) Repair of fencing of Dakpathar Barrage and related structures and various district works. 4) Repair of diversion and feeder water channel for supply of clean water to shaft gland of Chhibro Power House in Saradigad near Chhibro.</t>
  </si>
  <si>
    <t>137/24.02.2026</t>
  </si>
  <si>
    <t>2026_UAPMB_92369_1</t>
  </si>
  <si>
    <t>Sitc Of 500mt 05nos.x100mt For Fruit And Vegetables And 100mt 01no.x100mt For Frozen Produce Cold Storage 100kwp Roof Top Ongrid Solar Power Plant 82.50 Kva Dg Set 160 Kva Stabilizer 160kva Transformer Etc At Khatima Mandi</t>
  </si>
  <si>
    <t>160/EDC(H)/2025-26</t>
  </si>
  <si>
    <t>2026_UPCL5_92451_1</t>
  </si>
  <si>
    <t>For Replacement Of Existing 11 Kv</t>
  </si>
  <si>
    <t>SE/EDC-RKE/2025-26/96</t>
  </si>
  <si>
    <t>2026_UPCL5_92355_1</t>
  </si>
  <si>
    <t>Work Of Replacement Of Bare Conductor By Covered Conductor Of 11 Kv Delna Feeder Under Edd Rural Under Edc Roorkee</t>
  </si>
  <si>
    <t>SE/EDC-RKE/2025-26/94</t>
  </si>
  <si>
    <t>2026_UPCL5_92351_1</t>
  </si>
  <si>
    <t>Work Of Replacement Of Bare Conductor By Covered Conductor Of 11 Kv Kaliyar Feeder Under Edd Urban Under Edc Roorkee</t>
  </si>
  <si>
    <t>414/nivida/22 dated 24/02/2026</t>
  </si>
  <si>
    <t>2026_MDPEY_92405_1</t>
  </si>
  <si>
    <t>Construction Work Of Classroom Building For Sarvodya Inter College Jainti, District Almora</t>
  </si>
  <si>
    <t>SE/EDC-RKE/2025-26/93</t>
  </si>
  <si>
    <t>2026_UPCL5_92347_1</t>
  </si>
  <si>
    <t>Work Of Replacement Of Bare Conductor By Covered Conductor Of 11 Kv Shantarshah/ptw Feeder Under Edd Urban Under Edc Roorkee</t>
  </si>
  <si>
    <t>37(UCDF/2025-26, Date 25.02.2026</t>
  </si>
  <si>
    <t>2026_UCDF_92458_1</t>
  </si>
  <si>
    <t>Uttarakhand Cooperative Dairy Federation Limited</t>
  </si>
  <si>
    <t>Ice-cream Deepfreezer Push Cart</t>
  </si>
  <si>
    <t>01/ UREDA HQ/SPP/2025-26</t>
  </si>
  <si>
    <t>2026_UREDA_90526_3</t>
  </si>
  <si>
    <t>Survey, Design, Supply, Installation, Commissioning And Testing Of (10 Kw, 5 Nos.) Off Grid Solar Power Plant Including Warrantee And 05 Year Annual Maintenance In The State Of Uttarakhand</t>
  </si>
  <si>
    <t>149/EDC(H)/2025-26</t>
  </si>
  <si>
    <t>2026_UPCL5_91794_2</t>
  </si>
  <si>
    <t>159/EDC(H)/2025-26</t>
  </si>
  <si>
    <t>2026_UPCL5_92410_1</t>
  </si>
  <si>
    <t>8841/2-4-57/2025-26 dated 25.02.2026</t>
  </si>
  <si>
    <t>2026_UTDB_92431_1</t>
  </si>
  <si>
    <t>Uttarakhand Tourism Development Board</t>
  </si>
  <si>
    <t>Operation, Maintenance And Management Of Tourist Rest House At Devprayag, Tehri Garhwal, Uttarakhand</t>
  </si>
  <si>
    <t>20/EDDNBR/2025-26</t>
  </si>
  <si>
    <t>2026_UPCL4_92367_1</t>
  </si>
  <si>
    <t>Operation Of Works Through Contractor/external Agency (from 01-04-2026 To 31.3.2027) Under Edd Naryanbagar Against Oandm Head</t>
  </si>
  <si>
    <t>SE/EDC-RKE/2025-26/95</t>
  </si>
  <si>
    <t>2026_UPCL5_92353_1</t>
  </si>
  <si>
    <t>Work Of Replacement Of Bare Conductor By Covered Conductor Of 11 Kv Mehvad Feeder Under Edd Urban Under Edc Roorkee</t>
  </si>
  <si>
    <t>SE/EDC-RKE/2025-26/92</t>
  </si>
  <si>
    <t>2026_UPCL5_92346_1</t>
  </si>
  <si>
    <t>Work Of Replacement Of Bare Conductor By Covered Conductor Of 11 Kv Muldaspur Feeder Under Edd Urban Under Edc Roorkee</t>
  </si>
  <si>
    <t>GEM/2026/B/7286170</t>
  </si>
  <si>
    <t>Category: Refrigerated Centrifuge For General And Research Purpose_x000D_(q3) ( Pac Only )</t>
  </si>
  <si>
    <t>Bageshwar, Uttarakhand</t>
  </si>
  <si>
    <t>16/EE/PCM-DKP/TN/2025-26</t>
  </si>
  <si>
    <t>2026_UJVN_91954_1</t>
  </si>
  <si>
    <t>Civil Maintenance And Repair Works Of Stores, Workshops And Other Non-residential Buildings At Dakpathar, Dehradun</t>
  </si>
  <si>
    <t>63/EDC(K)/2025-26</t>
  </si>
  <si>
    <t>2026_UPCL4_92359_1</t>
  </si>
  <si>
    <t>Operation Of Works Through Contractor/external Agency (from 01-04-2026 To 31-03-2027) Under Edc, Karanprayag (edc, Etd ,cgrf Office) Through Outer Agency Against O And M Head</t>
  </si>
  <si>
    <t>09/2025-26/EDD(KH)</t>
  </si>
  <si>
    <t>2026_UPCL3_92368_1</t>
  </si>
  <si>
    <t>Replacement Of Damage Pvc Service Cable By Armoured Cable Under Jhankat Feeder Of 33/11 Kv Sub Station Jhankat, Edd Khatima. (head O And M)</t>
  </si>
  <si>
    <t>493/nivida lohaghat/60 dated 24/02/2026</t>
  </si>
  <si>
    <t>2026_MDPEY_92361_1</t>
  </si>
  <si>
    <t>Acoustical, Stage Lighting And Sound Work For Existing Government Auditorium Champawat, District Champawat</t>
  </si>
  <si>
    <t>10/2025-26/EDD(Kh)</t>
  </si>
  <si>
    <t>2026_UPCL3_92352_1</t>
  </si>
  <si>
    <t>Repair, Maintenance And Shifting Work At 33 Kv Line Lohiyahead To Haldi Under 33/11 Kv Sub Station Haldi Of Edd Upcl Khatima (o And M Head).</t>
  </si>
  <si>
    <t>64/EDC(K)/2025-26</t>
  </si>
  <si>
    <t>2026_UPCL4_92364_1</t>
  </si>
  <si>
    <t>Maintenance Work Of Associated Ht/lt Lines At Tapovan Section, Pandukeshwar Section (pandukeshwar To Sri Hemkund Sahib) And Helong Section Through Outer Agency (from 01.04.2026 To 31.03.2027) In Edsd Joshimath Under Edd Gopeshwar Against O And M Head</t>
  </si>
  <si>
    <t>54/EDD(K)/2025-26</t>
  </si>
  <si>
    <t>2026_UPCL9_92329_1</t>
  </si>
  <si>
    <t>54/edd(k)/2025-26</t>
  </si>
  <si>
    <t>62/EDC(K)/2025-26</t>
  </si>
  <si>
    <t>2026_UPCL4_92349_1</t>
  </si>
  <si>
    <t>Maintenance Work Of Associated Ht/lt Lines, Replacement Of Idf Meters And Disconnection Of Defaulter Consumers (from 01-04-2026 To 31-03-2027) Of 33/11 Kv Sub Stations Kothiyalsain And Nandprayag In Edsd Chamoli Under Edd Gopeshwar Through Outer Agen</t>
  </si>
  <si>
    <t>11/2025-26/EDD(KH)</t>
  </si>
  <si>
    <t>2026_UPCL3_92348_1</t>
  </si>
  <si>
    <t>Replacement Of Damage Pvc Service Cable By Armoured Cable Under Saboura Feeder Of 33/11 Kv Sub Station Jhankat, Edd Khatima. (head O And M)</t>
  </si>
  <si>
    <t>76/EDCT/ 2025-26</t>
  </si>
  <si>
    <t>2026_UPCL4_92306_1</t>
  </si>
  <si>
    <t>Meter Reading And Bill Distribution Work Under Edsd Ghansali, Tehri Garhwal .</t>
  </si>
  <si>
    <t>14/SIIDCUL/HRD/2025</t>
  </si>
  <si>
    <t>2026_SIDCU_92231_1</t>
  </si>
  <si>
    <t>Development Of Green Belt At Iie Siidcul Haridwar</t>
  </si>
  <si>
    <t>262/E-nivida/04 Dt.21.02.2026</t>
  </si>
  <si>
    <t>2026_UKJS_92233_1</t>
  </si>
  <si>
    <t>Repairing Of Oht, Construction Of Chambers, Distribution Line And Fhtc Under Tanda Mallu Mvs Water Supply Scheme At Ramnagar Block District Nainital.</t>
  </si>
  <si>
    <t>93/EDCRDDUN/2025-26</t>
  </si>
  <si>
    <t>2026_UPCL4_92254_1</t>
  </si>
  <si>
    <t>Replacement Of Weasel/raccoon Conductor By Aerial Bunch Cable In Various Villages Under 33/11 Kv Sub-station, Ranipokhri Under Edsd, Jollygrant Under Edd, Doiwala.</t>
  </si>
  <si>
    <t>1810/BRIDCUL/233/26 Dated 18.02.2026</t>
  </si>
  <si>
    <t>2026_BRID3_92311_1</t>
  </si>
  <si>
    <t>Construction Of Urban Development On 4th Floor In Dr. Nityanand Himalaya Sodh Kendra At Doon University Dehradun (uttarakhand)</t>
  </si>
  <si>
    <t>13/SIIDCUL/HRD/2025</t>
  </si>
  <si>
    <t>2026_SIDCU_92228_1</t>
  </si>
  <si>
    <t>Maintenance Of Drains, Kerbstone, Footpath At Iie Haridwar Sector 8a, 8b, 8c, Iidc</t>
  </si>
  <si>
    <t>MCS/E-Tender/Med/2025-26/5794</t>
  </si>
  <si>
    <t>2026_VGIMS_92296_1</t>
  </si>
  <si>
    <t>Purchase Of Hospital Medicines</t>
  </si>
  <si>
    <t>20/2025-26/EE/PCM(GV)/Mayapur</t>
  </si>
  <si>
    <t>2026_UJVN_92285_1</t>
  </si>
  <si>
    <t>Construction Of One Floor With Finishing Over Battery Room At Chilla Power House.</t>
  </si>
  <si>
    <t>61/EDC(K)/2025-26</t>
  </si>
  <si>
    <t>2026_UPCL4_92284_1</t>
  </si>
  <si>
    <t>Providing Of Tg-2(l) And Cooli For Ht/lt Lines, And Attending Breakdowns And Complaints Of Consumers Through Outer Agency (from 01.04.2026 To 31.03.2027) Under For Edd, Narayanbagar Against O And M Head</t>
  </si>
  <si>
    <t>31/EE(Civil)/MB-II/ Chinyalisaur/2025-26</t>
  </si>
  <si>
    <t>2026_UJVN_92261_1</t>
  </si>
  <si>
    <t>31/ee(civil)/mb-ii/ Chinyalisaur/2025-26</t>
  </si>
  <si>
    <t>59/EDC(K)/2025-26</t>
  </si>
  <si>
    <t>2026_UPCL4_92279_1</t>
  </si>
  <si>
    <t>Maintenance Work Of Associated Ht/lt Lines, Replacement Of Idf Meter And Disconnection Of Defaulter Consumers (from 01.04.2026 To 31.03.2027) Of 33/11 Kv S/s Tharali (dhari) Under Edsd Tharali Through Outer Agency Against O And M Head</t>
  </si>
  <si>
    <t>06 PM2 2025 26</t>
  </si>
  <si>
    <t>2026_UPDC4_92315_1</t>
  </si>
  <si>
    <t>Slope Stabilization Work In Chainage Km. 2/35 To Km 2/38 In The Alignment Of 0.000 To 10.300 Km Approach Road Near Ashram, Dwara Village, District Dehradun.</t>
  </si>
  <si>
    <t>GMCHLD/EProc/4-Dimensional Computer Tomography Simulator Machine/25-26/401</t>
  </si>
  <si>
    <t>2026_GMCH_92227_1</t>
  </si>
  <si>
    <t>Government Medical College</t>
  </si>
  <si>
    <t>4-dimensional Computer Tomography Simulator Machine</t>
  </si>
  <si>
    <t>602-604/19.02.2026</t>
  </si>
  <si>
    <t>2026_ANSS_92276_1</t>
  </si>
  <si>
    <t>Uttarakhand Awas Evam Nirman Sahakari Sangh Limited</t>
  </si>
  <si>
    <t>Construction Work Of Expansion In The Newly Constructed Building Of Tarai Vikas Sahkari Sangh Ltd. Rudrapur Headquarters.</t>
  </si>
  <si>
    <t>77/EDCT/2025-26</t>
  </si>
  <si>
    <t>2026_UPCL4_92313_1</t>
  </si>
  <si>
    <t>Operation And Maintenance Of 11 Kv, Lt Lines And Sub-stations And Attending The Consumers Complaint Of 11 Kv Kanatal, Nakot And Gaja Feeder Under Edsd Chamba, Tehri Garhwal</t>
  </si>
  <si>
    <t>Tender No. 54/EDC(U)/2025-26</t>
  </si>
  <si>
    <t>2026_UPCL4_92319_1</t>
  </si>
  <si>
    <t>Replacement Of Exiting 11 Kv Acsr Conductor By 11 Kv Aaac Covered Conductor 70 Sq.mm Of 11 Kv Janspur Feeder Of 33/11 S/s Anarwala.</t>
  </si>
  <si>
    <t>60/EDC(K)/2025-26</t>
  </si>
  <si>
    <t>2026_UPCL4_92281_1</t>
  </si>
  <si>
    <t>Maintenance Work Of Associated Ht/lt Lines, Replacement Of Idf Meter And Disconnection Of Defaulter Consumers (from 01-04-2026 To 31-03-2027) Of 33/11 Kv S/s Narayanbagar (panti) Under Edsd Tharali Through Outer Agency Against O And M Head</t>
  </si>
  <si>
    <t>MCS/E-Tender/2025-26/5793</t>
  </si>
  <si>
    <t>2026_VGIMS_92277_1</t>
  </si>
  <si>
    <t>Hospital Vahan Services</t>
  </si>
  <si>
    <t>04/PIU-3/2025-26 DATED 19-02-2026</t>
  </si>
  <si>
    <t>2026_UPDC6_92269_1</t>
  </si>
  <si>
    <t>Tourism, Infrastructure And Renovation Of Rankochi Temple</t>
  </si>
  <si>
    <t>2026_ANSS_92274_1</t>
  </si>
  <si>
    <t>Renovation/repair Work Of The Building Of District Cooperative Bank Main Branch Uttarkashi As Per Modern Environment.</t>
  </si>
  <si>
    <t>S.NO</t>
  </si>
  <si>
    <t>Tender Amount in Cr</t>
  </si>
  <si>
    <t>Date</t>
  </si>
  <si>
    <t>Status</t>
  </si>
  <si>
    <t>2) Sweeping, cleaning and maintenance work in the office of the Electricity Building, Project Distribution Division Office and Project Janpad Maintenance - Dakpathar located at Dakpathar</t>
  </si>
  <si>
    <t xml:space="preserve">3) Repair and re-laying of stones on the right bank of the power channel slope from HR Bridge to Silt Ejector of Dakpathar Barrage, Dehradun. </t>
  </si>
  <si>
    <t>The Executive Engineer, Project Janpad Maintenance - Dakpathar, UJVNL Ltd., Dakpathar (Dehradun) invites tenders from interested tenderers. Details of the tenders are as follows:
1) Janpadiya maintenance and repair work of the diesel power house located at Khodri.  .</t>
  </si>
  <si>
    <t xml:space="preserve"> 4) Repair and renovation of toilets at Dakpathar Barrage, Dehradun.</t>
  </si>
  <si>
    <t xml:space="preserve">18/EE/PCM-DKP/TN/2025-26, </t>
  </si>
  <si>
    <t xml:space="preserve">19/EE/PCM-DKP/TN/2025-26 </t>
  </si>
  <si>
    <t xml:space="preserve">17/EE/PCM-DKP/TN/2025-26, </t>
  </si>
  <si>
    <t>&amp; 20/EE/PCM-DKP/TN/2025-26</t>
  </si>
  <si>
    <t>Hiring of one number light diesel vehicle (Mahindra make
bolero or higher model) along with driver for Sub District
Magistrate, Dhanolti/ Nainbag, District Tehri Garhwal (Pool
Vehicle) for R&amp;R works of Lakhwar Multipurpose Project.</t>
  </si>
  <si>
    <t>21/2025-26/EE(C-M) Vyasi Project</t>
  </si>
  <si>
    <t>Hiring of one number diesel vehicle (Mahindra Scorpio model S-11 classic / Scorpio-N or equivalent) along with driver for General Manager (Civil- Maintenance) Vyasi Project cum GM (Civil) Arakot-Tiuni &amp; Tiuni Plasu, Dakpathar, Dehradun for one year</t>
  </si>
  <si>
    <t>Sweeping and cleaning works related to New Yamuna colony at Dakpathar, Dehradun.</t>
  </si>
  <si>
    <t xml:space="preserve"> Repair of Fencing and Miscellaneous Civil Works at Dakpathar Barrage and its Associated Structures.</t>
  </si>
  <si>
    <t xml:space="preserve">Repair of diversion and feeder water channel for clean water supply to shaft gland of Chibro Power House at Saradigad near Chibro, respectively. </t>
  </si>
  <si>
    <r>
      <t>Construction of Guard Room and Gate at the Surge Tank Entrance Approach Road of Khodri Power House, near Khodri-Killod Road, Khodri.  Estimated cost: 1) ₹ (GST Extra), 2) ₹</t>
    </r>
    <r>
      <rPr>
        <sz val="11"/>
        <color indexed="8"/>
        <rFont val="Calibri"/>
        <family val="2"/>
        <scheme val="minor"/>
      </rPr>
      <t xml:space="preserve"> (GST Extra), 3) ₹ (GST Extra), and 4) (GST Extra), respectively.</t>
    </r>
  </si>
  <si>
    <t xml:space="preserve">13/EE/PCM-DKP/TN/2025-26, </t>
  </si>
  <si>
    <t>14/EE/PCM-DKP/TN/2025-26,</t>
  </si>
  <si>
    <t xml:space="preserve">12/EE/PCM-DKP/TN/2025-26,  </t>
  </si>
  <si>
    <t>&amp;15/EE/PCM-DKP/TN/2025-26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</si>
</sst>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7" x14ac:knownFonts="1">
    <font>
      <sz val="11"/>
      <color indexed="8"/>
      <name val="Calibri"/>
      <family val="2"/>
      <scheme val="minor"/>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u/>
      <sz val="11"/>
      <color indexed="12"/>
      <name val="Calibri"/>
    </font>
    <font>
      <b/>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68">
    <xf numFmtId="0" fontId="0" fillId="0" borderId="0" xfId="0"/>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51"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58"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60"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64"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6" fillId="0" borderId="1" xfId="0" applyFont="1" applyBorder="1" applyAlignment="1">
      <alignment horizontal="center" vertical="center" wrapText="1"/>
    </xf>
    <xf numFmtId="0" fontId="67"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70" fillId="0" borderId="1" xfId="0" applyFont="1" applyBorder="1" applyAlignment="1">
      <alignment horizontal="center" vertical="center" wrapText="1"/>
    </xf>
    <xf numFmtId="0" fontId="71" fillId="0" borderId="1" xfId="0" applyFont="1" applyBorder="1" applyAlignment="1">
      <alignment horizontal="center" vertical="center" wrapText="1"/>
    </xf>
    <xf numFmtId="0" fontId="72" fillId="0" borderId="1" xfId="0" applyFont="1" applyBorder="1" applyAlignment="1">
      <alignment horizontal="center" vertical="center" wrapText="1"/>
    </xf>
    <xf numFmtId="0" fontId="73" fillId="0" borderId="1" xfId="0" applyFont="1" applyBorder="1" applyAlignment="1">
      <alignment horizontal="center" vertical="center" wrapText="1"/>
    </xf>
    <xf numFmtId="0" fontId="74" fillId="0" borderId="1" xfId="0" applyFont="1" applyBorder="1" applyAlignment="1">
      <alignment horizontal="center" vertical="center" wrapText="1"/>
    </xf>
    <xf numFmtId="0" fontId="75" fillId="0" borderId="1" xfId="0" applyFont="1" applyBorder="1" applyAlignment="1">
      <alignment horizontal="center" vertical="center" wrapText="1"/>
    </xf>
    <xf numFmtId="0" fontId="76" fillId="0" borderId="1" xfId="0" applyFont="1" applyBorder="1" applyAlignment="1">
      <alignment horizontal="center" vertical="center" wrapText="1"/>
    </xf>
    <xf numFmtId="0" fontId="77" fillId="0" borderId="1" xfId="0" applyFont="1" applyBorder="1" applyAlignment="1">
      <alignment horizontal="center" vertical="center" wrapText="1"/>
    </xf>
    <xf numFmtId="0" fontId="78" fillId="0" borderId="1" xfId="0" applyFont="1" applyBorder="1" applyAlignment="1">
      <alignment horizontal="center" vertical="center" wrapText="1"/>
    </xf>
    <xf numFmtId="0" fontId="79" fillId="0" borderId="1" xfId="0" applyFont="1" applyBorder="1" applyAlignment="1">
      <alignment horizontal="center" vertical="center" wrapText="1"/>
    </xf>
    <xf numFmtId="0" fontId="80" fillId="0" borderId="1" xfId="0" applyFont="1" applyBorder="1" applyAlignment="1">
      <alignment horizontal="center" vertical="center" wrapText="1"/>
    </xf>
    <xf numFmtId="0" fontId="81"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3" fillId="0" borderId="1" xfId="0" applyFont="1" applyBorder="1" applyAlignment="1">
      <alignment horizontal="center" vertical="center" wrapText="1"/>
    </xf>
    <xf numFmtId="0" fontId="84" fillId="0" borderId="1" xfId="0" applyFont="1" applyBorder="1" applyAlignment="1">
      <alignment horizontal="center" vertical="center" wrapText="1"/>
    </xf>
    <xf numFmtId="0" fontId="85" fillId="0" borderId="1" xfId="0" applyFont="1" applyBorder="1" applyAlignment="1">
      <alignment horizontal="center" vertical="center" wrapText="1"/>
    </xf>
    <xf numFmtId="0" fontId="86" fillId="0" borderId="1" xfId="0" applyFont="1" applyBorder="1" applyAlignment="1">
      <alignment horizontal="center" vertical="center" wrapText="1"/>
    </xf>
    <xf numFmtId="0" fontId="87" fillId="0" borderId="1" xfId="0" applyFont="1" applyBorder="1" applyAlignment="1">
      <alignment horizontal="center" vertical="center" wrapText="1"/>
    </xf>
    <xf numFmtId="0" fontId="88" fillId="0" borderId="1" xfId="0" applyFont="1" applyBorder="1" applyAlignment="1">
      <alignment horizontal="center" vertical="center" wrapText="1"/>
    </xf>
    <xf numFmtId="0" fontId="89" fillId="0" borderId="1" xfId="0" applyFont="1" applyBorder="1" applyAlignment="1">
      <alignment horizontal="center" vertical="center" wrapText="1"/>
    </xf>
    <xf numFmtId="0" fontId="90" fillId="0" borderId="1" xfId="0" applyFont="1" applyBorder="1" applyAlignment="1">
      <alignment horizontal="center" vertical="center" wrapText="1"/>
    </xf>
    <xf numFmtId="0" fontId="91" fillId="0" borderId="1" xfId="0" applyFont="1" applyBorder="1" applyAlignment="1">
      <alignment horizontal="center" vertical="center" wrapText="1"/>
    </xf>
    <xf numFmtId="0" fontId="92" fillId="0" borderId="1" xfId="0" applyFont="1" applyBorder="1" applyAlignment="1">
      <alignment horizontal="center" vertical="center" wrapText="1"/>
    </xf>
    <xf numFmtId="0" fontId="93"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6" fillId="0" borderId="1" xfId="0" applyFont="1" applyBorder="1" applyAlignment="1">
      <alignment horizontal="center" vertical="center" wrapText="1"/>
    </xf>
    <xf numFmtId="0" fontId="97" fillId="0" borderId="1" xfId="0" applyFont="1" applyBorder="1" applyAlignment="1">
      <alignment horizontal="center" vertical="center" wrapText="1"/>
    </xf>
    <xf numFmtId="0" fontId="98" fillId="0" borderId="1" xfId="0" applyFont="1" applyBorder="1" applyAlignment="1">
      <alignment horizontal="center" vertical="center" wrapText="1"/>
    </xf>
    <xf numFmtId="0" fontId="99" fillId="0" borderId="1" xfId="0" applyFont="1" applyBorder="1" applyAlignment="1">
      <alignment horizontal="center" vertical="center" wrapText="1"/>
    </xf>
    <xf numFmtId="0" fontId="100" fillId="0" borderId="1" xfId="0" applyFont="1" applyBorder="1" applyAlignment="1">
      <alignment horizontal="center" vertical="center" wrapText="1"/>
    </xf>
    <xf numFmtId="0" fontId="101" fillId="0" borderId="1" xfId="0" applyFont="1" applyBorder="1" applyAlignment="1">
      <alignment horizontal="center" vertical="center" wrapText="1"/>
    </xf>
    <xf numFmtId="0" fontId="102" fillId="0" borderId="1" xfId="0" applyFont="1" applyBorder="1" applyAlignment="1">
      <alignment horizontal="center" vertical="center" wrapText="1"/>
    </xf>
    <xf numFmtId="0" fontId="103" fillId="0" borderId="1" xfId="0" applyFont="1" applyBorder="1" applyAlignment="1">
      <alignment horizontal="center" vertical="center" wrapText="1"/>
    </xf>
    <xf numFmtId="0" fontId="104" fillId="0" borderId="1" xfId="0" applyFont="1" applyBorder="1" applyAlignment="1">
      <alignment horizontal="center" vertical="center" wrapText="1"/>
    </xf>
    <xf numFmtId="0" fontId="105" fillId="0" borderId="1" xfId="0" applyFont="1" applyBorder="1" applyAlignment="1">
      <alignment horizontal="center" vertical="center" wrapText="1"/>
    </xf>
    <xf numFmtId="0" fontId="106" fillId="0" borderId="1" xfId="0" applyFont="1" applyBorder="1" applyAlignment="1">
      <alignment horizontal="center" vertical="center" wrapText="1"/>
    </xf>
    <xf numFmtId="0" fontId="107" fillId="0" borderId="1" xfId="0" applyFont="1" applyBorder="1" applyAlignment="1">
      <alignment horizontal="center" vertical="center" wrapText="1"/>
    </xf>
    <xf numFmtId="0" fontId="108" fillId="0" borderId="1" xfId="0" applyFont="1" applyBorder="1" applyAlignment="1">
      <alignment horizontal="center" vertical="center" wrapText="1"/>
    </xf>
    <xf numFmtId="0" fontId="109" fillId="0" borderId="1" xfId="0" applyFont="1" applyBorder="1" applyAlignment="1">
      <alignment horizontal="center" vertical="center" wrapText="1"/>
    </xf>
    <xf numFmtId="0" fontId="110" fillId="0" borderId="1" xfId="0" applyFont="1" applyBorder="1" applyAlignment="1">
      <alignment horizontal="center" vertical="center" wrapText="1"/>
    </xf>
    <xf numFmtId="0" fontId="111" fillId="0" borderId="1" xfId="0" applyFont="1" applyBorder="1" applyAlignment="1">
      <alignment horizontal="center" vertical="center" wrapText="1"/>
    </xf>
    <xf numFmtId="0" fontId="112" fillId="0" borderId="1" xfId="0" applyFont="1" applyBorder="1" applyAlignment="1">
      <alignment horizontal="center" vertical="center" wrapText="1"/>
    </xf>
    <xf numFmtId="0" fontId="113" fillId="0" borderId="1" xfId="0" applyFont="1" applyBorder="1" applyAlignment="1">
      <alignment horizontal="center" vertical="center" wrapText="1"/>
    </xf>
    <xf numFmtId="0" fontId="114" fillId="0" borderId="1" xfId="0" applyFont="1" applyBorder="1" applyAlignment="1">
      <alignment horizontal="center" vertical="center" wrapText="1"/>
    </xf>
    <xf numFmtId="0" fontId="115" fillId="0" borderId="1" xfId="0" applyFont="1" applyBorder="1" applyAlignment="1">
      <alignment horizontal="center" vertical="center" wrapText="1"/>
    </xf>
    <xf numFmtId="0" fontId="116" fillId="0" borderId="1" xfId="0" applyFont="1" applyBorder="1" applyAlignment="1">
      <alignment horizontal="center" vertical="center" wrapText="1"/>
    </xf>
    <xf numFmtId="0" fontId="117" fillId="0" borderId="1" xfId="0" applyFont="1" applyBorder="1" applyAlignment="1">
      <alignment horizontal="center" vertical="center" wrapText="1"/>
    </xf>
    <xf numFmtId="0" fontId="118" fillId="0" borderId="1" xfId="0" applyFont="1" applyBorder="1" applyAlignment="1">
      <alignment horizontal="center" vertical="center" wrapText="1"/>
    </xf>
    <xf numFmtId="0" fontId="119" fillId="0" borderId="1" xfId="0" applyFont="1" applyBorder="1" applyAlignment="1">
      <alignment horizontal="center" vertical="center" wrapText="1"/>
    </xf>
    <xf numFmtId="0" fontId="120" fillId="0" borderId="1" xfId="0" applyFont="1" applyBorder="1" applyAlignment="1">
      <alignment horizontal="center" vertical="center" wrapText="1"/>
    </xf>
    <xf numFmtId="0" fontId="121" fillId="0" borderId="1" xfId="0" applyFont="1" applyBorder="1" applyAlignment="1">
      <alignment horizontal="center" vertical="center" wrapText="1"/>
    </xf>
    <xf numFmtId="0" fontId="122" fillId="0" borderId="1" xfId="0" applyFont="1" applyBorder="1" applyAlignment="1">
      <alignment horizontal="center" vertical="center" wrapText="1"/>
    </xf>
    <xf numFmtId="0" fontId="123" fillId="0" borderId="1" xfId="0" applyFont="1" applyBorder="1" applyAlignment="1">
      <alignment horizontal="center" vertical="center" wrapText="1"/>
    </xf>
    <xf numFmtId="0" fontId="124" fillId="0" borderId="1" xfId="0" applyFont="1" applyBorder="1" applyAlignment="1">
      <alignment horizontal="center" vertical="center" wrapText="1"/>
    </xf>
    <xf numFmtId="0" fontId="125" fillId="0" borderId="1" xfId="0" applyFont="1" applyBorder="1" applyAlignment="1">
      <alignment horizontal="center" vertical="center" wrapText="1"/>
    </xf>
    <xf numFmtId="0" fontId="126" fillId="0" borderId="1" xfId="0" applyFont="1" applyBorder="1" applyAlignment="1">
      <alignment horizontal="center" vertical="center" wrapText="1"/>
    </xf>
    <xf numFmtId="0" fontId="127" fillId="0" borderId="1" xfId="0" applyFont="1" applyBorder="1" applyAlignment="1">
      <alignment horizontal="center" vertical="center" wrapText="1"/>
    </xf>
    <xf numFmtId="0" fontId="128" fillId="0" borderId="1" xfId="0" applyFont="1" applyBorder="1" applyAlignment="1">
      <alignment horizontal="center" vertical="center" wrapText="1"/>
    </xf>
    <xf numFmtId="0" fontId="129" fillId="0" borderId="1" xfId="0" applyFont="1" applyBorder="1" applyAlignment="1">
      <alignment horizontal="center" vertical="center" wrapText="1"/>
    </xf>
    <xf numFmtId="0" fontId="130" fillId="0" borderId="1" xfId="0" applyFont="1" applyBorder="1" applyAlignment="1">
      <alignment horizontal="center" vertical="center" wrapText="1"/>
    </xf>
    <xf numFmtId="0" fontId="131" fillId="0" borderId="1" xfId="0" applyFont="1" applyBorder="1" applyAlignment="1">
      <alignment horizontal="center" vertical="center" wrapText="1"/>
    </xf>
    <xf numFmtId="0" fontId="132" fillId="0" borderId="1" xfId="0" applyFont="1" applyBorder="1" applyAlignment="1">
      <alignment horizontal="center" vertical="center" wrapText="1"/>
    </xf>
    <xf numFmtId="0" fontId="133" fillId="0" borderId="1" xfId="0" applyFont="1" applyBorder="1" applyAlignment="1">
      <alignment horizontal="center" vertical="center" wrapText="1"/>
    </xf>
    <xf numFmtId="0" fontId="134" fillId="0" borderId="1" xfId="0" applyFont="1" applyBorder="1" applyAlignment="1">
      <alignment horizontal="center" vertical="center" wrapText="1"/>
    </xf>
    <xf numFmtId="0" fontId="135" fillId="0" borderId="1" xfId="0" applyFont="1" applyBorder="1" applyAlignment="1">
      <alignment horizontal="center" vertical="center" wrapText="1"/>
    </xf>
    <xf numFmtId="0" fontId="136" fillId="0" borderId="1" xfId="0" applyFont="1" applyBorder="1" applyAlignment="1">
      <alignment horizontal="center" vertical="center" wrapText="1"/>
    </xf>
    <xf numFmtId="0" fontId="137" fillId="0" borderId="1" xfId="0" applyFont="1" applyBorder="1" applyAlignment="1">
      <alignment horizontal="center" vertical="center" wrapText="1"/>
    </xf>
    <xf numFmtId="0" fontId="138"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0" fillId="0" borderId="1" xfId="0" applyFont="1" applyBorder="1" applyAlignment="1">
      <alignment horizontal="center" vertical="center" wrapText="1"/>
    </xf>
    <xf numFmtId="0" fontId="141" fillId="0" borderId="1" xfId="0" applyFont="1" applyBorder="1" applyAlignment="1">
      <alignment horizontal="center" vertical="center" wrapText="1"/>
    </xf>
    <xf numFmtId="0" fontId="142" fillId="0" borderId="1" xfId="0" applyFont="1" applyBorder="1" applyAlignment="1">
      <alignment horizontal="center" vertical="center" wrapText="1"/>
    </xf>
    <xf numFmtId="0" fontId="143" fillId="0" borderId="1" xfId="0" applyFont="1" applyBorder="1" applyAlignment="1">
      <alignment horizontal="center" vertical="center" wrapText="1"/>
    </xf>
    <xf numFmtId="0" fontId="144" fillId="0" borderId="1" xfId="0" applyFont="1" applyBorder="1" applyAlignment="1">
      <alignment horizontal="center" vertical="center" wrapText="1"/>
    </xf>
    <xf numFmtId="0" fontId="145" fillId="0" borderId="1" xfId="0" applyFont="1" applyBorder="1" applyAlignment="1">
      <alignment horizontal="center" vertical="center" wrapText="1"/>
    </xf>
    <xf numFmtId="0" fontId="146" fillId="0" borderId="1" xfId="0" applyFont="1" applyBorder="1" applyAlignment="1">
      <alignment horizontal="center" vertical="center" wrapText="1"/>
    </xf>
    <xf numFmtId="0" fontId="147" fillId="0" borderId="1" xfId="0" applyFont="1" applyBorder="1" applyAlignment="1">
      <alignment horizontal="center" vertical="center" wrapText="1"/>
    </xf>
    <xf numFmtId="0" fontId="148" fillId="0" borderId="1" xfId="0" applyFont="1" applyBorder="1" applyAlignment="1">
      <alignment horizontal="center" vertical="center" wrapText="1"/>
    </xf>
    <xf numFmtId="0" fontId="149" fillId="0" borderId="1" xfId="0" applyFont="1" applyBorder="1" applyAlignment="1">
      <alignment horizontal="center" vertical="center" wrapText="1"/>
    </xf>
    <xf numFmtId="0" fontId="150" fillId="0" borderId="1" xfId="0" applyFont="1" applyBorder="1" applyAlignment="1">
      <alignment horizontal="center" vertical="center" wrapText="1"/>
    </xf>
    <xf numFmtId="0" fontId="151" fillId="0" borderId="1" xfId="0" applyFont="1" applyBorder="1" applyAlignment="1">
      <alignment horizontal="center" vertical="center" wrapText="1"/>
    </xf>
    <xf numFmtId="0" fontId="152" fillId="0" borderId="1" xfId="0" applyFont="1" applyBorder="1" applyAlignment="1">
      <alignment horizontal="center" vertical="center" wrapText="1"/>
    </xf>
    <xf numFmtId="0" fontId="153" fillId="0" borderId="1" xfId="0" applyFont="1" applyBorder="1" applyAlignment="1">
      <alignment horizontal="center" vertical="center" wrapText="1"/>
    </xf>
    <xf numFmtId="0" fontId="154" fillId="0" borderId="1" xfId="0" applyFont="1" applyBorder="1" applyAlignment="1">
      <alignment horizontal="center" vertical="center" wrapText="1"/>
    </xf>
    <xf numFmtId="0" fontId="155" fillId="0" borderId="1" xfId="0" applyFont="1" applyBorder="1" applyAlignment="1">
      <alignment horizontal="center" vertical="center" wrapText="1"/>
    </xf>
    <xf numFmtId="0" fontId="156" fillId="0" borderId="1" xfId="0" applyFont="1" applyBorder="1" applyAlignment="1">
      <alignment horizontal="center" vertical="center" wrapText="1"/>
    </xf>
    <xf numFmtId="0" fontId="157" fillId="0" borderId="1" xfId="0" applyFont="1" applyBorder="1" applyAlignment="1">
      <alignment horizontal="center" vertical="center" wrapText="1"/>
    </xf>
    <xf numFmtId="0" fontId="158" fillId="0" borderId="1" xfId="0" applyFont="1" applyBorder="1" applyAlignment="1">
      <alignment horizontal="center" vertical="center" wrapText="1"/>
    </xf>
    <xf numFmtId="0" fontId="159" fillId="0" borderId="1" xfId="0" applyFont="1" applyBorder="1" applyAlignment="1">
      <alignment horizontal="center" vertical="center" wrapText="1"/>
    </xf>
    <xf numFmtId="0" fontId="160" fillId="0" borderId="1" xfId="0" applyFont="1" applyBorder="1" applyAlignment="1">
      <alignment horizontal="center" vertical="center" wrapText="1"/>
    </xf>
    <xf numFmtId="0" fontId="161" fillId="0" borderId="1" xfId="0" applyFont="1" applyBorder="1" applyAlignment="1">
      <alignment horizontal="center" vertical="center" wrapText="1"/>
    </xf>
    <xf numFmtId="0" fontId="162" fillId="0" borderId="1" xfId="0" applyFont="1" applyBorder="1" applyAlignment="1">
      <alignment horizontal="center" vertical="center" wrapText="1"/>
    </xf>
    <xf numFmtId="0" fontId="163" fillId="0" borderId="1" xfId="0" applyFont="1" applyBorder="1" applyAlignment="1">
      <alignment horizontal="center" vertical="center" wrapText="1"/>
    </xf>
    <xf numFmtId="0" fontId="164" fillId="0" borderId="1" xfId="0" applyFont="1" applyBorder="1" applyAlignment="1">
      <alignment horizontal="center" vertical="center" wrapText="1"/>
    </xf>
    <xf numFmtId="0" fontId="165" fillId="0" borderId="1" xfId="0" applyFont="1" applyBorder="1" applyAlignment="1">
      <alignment horizontal="center" vertical="center" wrapText="1"/>
    </xf>
    <xf numFmtId="0" fontId="166" fillId="0" borderId="1" xfId="0" applyFont="1" applyBorder="1" applyAlignment="1">
      <alignment horizontal="center" vertical="center" wrapText="1"/>
    </xf>
    <xf numFmtId="0" fontId="167" fillId="0" borderId="1" xfId="0" applyFont="1" applyBorder="1" applyAlignment="1">
      <alignment horizontal="center" vertical="center" wrapText="1"/>
    </xf>
    <xf numFmtId="0" fontId="168" fillId="0" borderId="1" xfId="0" applyFont="1" applyBorder="1" applyAlignment="1">
      <alignment horizontal="center" vertical="center" wrapText="1"/>
    </xf>
    <xf numFmtId="0" fontId="169" fillId="0" borderId="1" xfId="0" applyFont="1" applyBorder="1" applyAlignment="1">
      <alignment horizontal="center" vertical="center" wrapText="1"/>
    </xf>
    <xf numFmtId="0" fontId="170" fillId="0" borderId="1" xfId="0" applyFont="1" applyBorder="1" applyAlignment="1">
      <alignment horizontal="center" vertical="center" wrapText="1"/>
    </xf>
    <xf numFmtId="0" fontId="171" fillId="0" borderId="1" xfId="0" applyFont="1" applyBorder="1" applyAlignment="1">
      <alignment horizontal="center" vertical="center" wrapText="1"/>
    </xf>
    <xf numFmtId="0" fontId="172" fillId="0" borderId="1" xfId="0" applyFont="1" applyBorder="1" applyAlignment="1">
      <alignment horizontal="center" vertical="center" wrapText="1"/>
    </xf>
    <xf numFmtId="0" fontId="173" fillId="0" borderId="1" xfId="0" applyFont="1" applyBorder="1" applyAlignment="1">
      <alignment horizontal="center" vertical="center" wrapText="1"/>
    </xf>
    <xf numFmtId="0" fontId="174" fillId="0" borderId="1" xfId="0" applyFont="1" applyBorder="1" applyAlignment="1">
      <alignment horizontal="center" vertical="center" wrapText="1"/>
    </xf>
    <xf numFmtId="0" fontId="175" fillId="0" borderId="1" xfId="0" applyFont="1" applyBorder="1" applyAlignment="1">
      <alignment horizontal="center" vertical="center" wrapText="1"/>
    </xf>
    <xf numFmtId="0" fontId="176" fillId="0" borderId="1" xfId="0" applyFont="1" applyBorder="1" applyAlignment="1">
      <alignment horizontal="center" vertical="center" wrapText="1"/>
    </xf>
    <xf numFmtId="0" fontId="177" fillId="0" borderId="1" xfId="0" applyFont="1" applyBorder="1" applyAlignment="1">
      <alignment horizontal="center" vertical="center" wrapText="1"/>
    </xf>
    <xf numFmtId="0" fontId="178" fillId="0" borderId="1" xfId="0" applyFont="1" applyBorder="1" applyAlignment="1">
      <alignment horizontal="center" vertical="center" wrapText="1"/>
    </xf>
    <xf numFmtId="0" fontId="179" fillId="0" borderId="1" xfId="0" applyFont="1" applyBorder="1" applyAlignment="1">
      <alignment horizontal="center" vertical="center" wrapText="1"/>
    </xf>
    <xf numFmtId="0" fontId="180" fillId="0" borderId="1" xfId="0" applyFont="1" applyBorder="1" applyAlignment="1">
      <alignment horizontal="center" vertical="center" wrapText="1"/>
    </xf>
    <xf numFmtId="0" fontId="181" fillId="0" borderId="1" xfId="0" applyFont="1" applyBorder="1" applyAlignment="1">
      <alignment horizontal="center" vertical="center" wrapText="1"/>
    </xf>
    <xf numFmtId="0" fontId="182" fillId="0" borderId="1" xfId="0" applyFont="1" applyBorder="1" applyAlignment="1">
      <alignment horizontal="center" vertical="center" wrapText="1"/>
    </xf>
    <xf numFmtId="0" fontId="183" fillId="0" borderId="1" xfId="0" applyFont="1" applyBorder="1" applyAlignment="1">
      <alignment horizontal="center" vertical="center" wrapText="1"/>
    </xf>
    <xf numFmtId="0" fontId="184" fillId="0" borderId="1" xfId="0" applyFont="1" applyBorder="1" applyAlignment="1">
      <alignment horizontal="center" vertical="center" wrapText="1"/>
    </xf>
    <xf numFmtId="0" fontId="185" fillId="0" borderId="1" xfId="0" applyFont="1" applyBorder="1" applyAlignment="1">
      <alignment horizontal="center" vertical="center" wrapText="1"/>
    </xf>
    <xf numFmtId="0" fontId="186" fillId="0" borderId="1" xfId="0" applyFont="1" applyBorder="1" applyAlignment="1">
      <alignment horizontal="center" vertical="center" wrapText="1"/>
    </xf>
    <xf numFmtId="0" fontId="187" fillId="0" borderId="1" xfId="0" applyFont="1" applyBorder="1" applyAlignment="1">
      <alignment horizontal="center" vertical="center" wrapText="1"/>
    </xf>
    <xf numFmtId="0" fontId="188" fillId="0" borderId="1" xfId="0" applyFont="1" applyBorder="1" applyAlignment="1">
      <alignment horizontal="center" vertical="center" wrapText="1"/>
    </xf>
    <xf numFmtId="0" fontId="189" fillId="0" borderId="1" xfId="0" applyFont="1" applyBorder="1" applyAlignment="1">
      <alignment horizontal="center" vertical="center" wrapText="1"/>
    </xf>
    <xf numFmtId="0" fontId="190" fillId="0" borderId="1" xfId="0" applyFont="1" applyBorder="1" applyAlignment="1">
      <alignment horizontal="center" vertical="center" wrapText="1"/>
    </xf>
    <xf numFmtId="0" fontId="191" fillId="0" borderId="1" xfId="0" applyFont="1" applyBorder="1" applyAlignment="1">
      <alignment horizontal="center" vertical="center" wrapText="1"/>
    </xf>
    <xf numFmtId="0" fontId="192" fillId="0" borderId="1" xfId="0" applyFont="1" applyBorder="1" applyAlignment="1">
      <alignment horizontal="center" vertical="center" wrapText="1"/>
    </xf>
    <xf numFmtId="0" fontId="193" fillId="0" borderId="1" xfId="0" applyFont="1" applyBorder="1" applyAlignment="1">
      <alignment horizontal="center" vertical="center" wrapText="1"/>
    </xf>
    <xf numFmtId="0" fontId="194" fillId="0" borderId="1" xfId="0" applyFont="1" applyBorder="1" applyAlignment="1">
      <alignment horizontal="center" vertical="center" wrapText="1"/>
    </xf>
    <xf numFmtId="0" fontId="195" fillId="0" borderId="1" xfId="0" applyFont="1" applyBorder="1" applyAlignment="1">
      <alignment horizontal="center" vertical="center" wrapText="1"/>
    </xf>
    <xf numFmtId="0" fontId="196" fillId="0" borderId="1" xfId="0" applyFont="1" applyBorder="1" applyAlignment="1">
      <alignment horizontal="center" vertical="center" wrapText="1"/>
    </xf>
    <xf numFmtId="0" fontId="197" fillId="0" borderId="1" xfId="0" applyFont="1" applyBorder="1" applyAlignment="1">
      <alignment horizontal="center" vertical="center" wrapText="1"/>
    </xf>
    <xf numFmtId="0" fontId="198" fillId="0" borderId="1" xfId="0" applyFont="1" applyBorder="1" applyAlignment="1">
      <alignment horizontal="center" vertical="center" wrapText="1"/>
    </xf>
    <xf numFmtId="0" fontId="199" fillId="0" borderId="1" xfId="0" applyFont="1" applyBorder="1" applyAlignment="1">
      <alignment horizontal="center" vertical="center" wrapText="1"/>
    </xf>
    <xf numFmtId="0" fontId="200" fillId="0" borderId="1" xfId="0" applyFont="1" applyBorder="1" applyAlignment="1">
      <alignment horizontal="center" vertical="center" wrapText="1"/>
    </xf>
    <xf numFmtId="0" fontId="201" fillId="0" borderId="1" xfId="0" applyFont="1" applyBorder="1" applyAlignment="1">
      <alignment horizontal="center" vertical="center" wrapText="1"/>
    </xf>
    <xf numFmtId="0" fontId="202" fillId="0" borderId="1" xfId="0" applyFont="1" applyBorder="1" applyAlignment="1">
      <alignment horizontal="center" vertical="center" wrapText="1"/>
    </xf>
    <xf numFmtId="0" fontId="203" fillId="0" borderId="1" xfId="0" applyFont="1" applyBorder="1" applyAlignment="1">
      <alignment horizontal="center" vertical="center" wrapText="1"/>
    </xf>
    <xf numFmtId="0" fontId="204" fillId="0" borderId="1" xfId="0" applyFont="1" applyBorder="1" applyAlignment="1">
      <alignment horizontal="center" vertical="center" wrapText="1"/>
    </xf>
    <xf numFmtId="0" fontId="205" fillId="0" borderId="1" xfId="0" applyFont="1" applyBorder="1" applyAlignment="1">
      <alignment horizontal="center" vertical="center" wrapText="1"/>
    </xf>
    <xf numFmtId="0" fontId="206" fillId="0" borderId="1" xfId="0" applyFont="1" applyBorder="1" applyAlignment="1">
      <alignment horizontal="center" vertical="center" wrapText="1"/>
    </xf>
    <xf numFmtId="0" fontId="207" fillId="0" borderId="1" xfId="0" applyFont="1" applyBorder="1" applyAlignment="1">
      <alignment horizontal="center" vertical="center" wrapText="1"/>
    </xf>
    <xf numFmtId="0" fontId="208" fillId="0" borderId="1" xfId="0" applyFont="1" applyBorder="1" applyAlignment="1">
      <alignment horizontal="center" vertical="center" wrapText="1"/>
    </xf>
    <xf numFmtId="0" fontId="209" fillId="0" borderId="1" xfId="0" applyFont="1" applyBorder="1" applyAlignment="1">
      <alignment horizontal="center" vertical="center" wrapText="1"/>
    </xf>
    <xf numFmtId="0" fontId="210" fillId="0" borderId="1" xfId="0" applyFont="1" applyBorder="1" applyAlignment="1">
      <alignment horizontal="center" vertical="center" wrapText="1"/>
    </xf>
    <xf numFmtId="0" fontId="211" fillId="0" borderId="1" xfId="0" applyFont="1" applyBorder="1" applyAlignment="1">
      <alignment horizontal="center" vertical="center" wrapText="1"/>
    </xf>
    <xf numFmtId="0" fontId="212" fillId="0" borderId="1" xfId="0" applyFont="1" applyBorder="1" applyAlignment="1">
      <alignment horizontal="center" vertical="center" wrapText="1"/>
    </xf>
    <xf numFmtId="0" fontId="213" fillId="0" borderId="1" xfId="0" applyFont="1" applyBorder="1" applyAlignment="1">
      <alignment horizontal="center" vertical="center" wrapText="1"/>
    </xf>
    <xf numFmtId="0" fontId="214"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6" fillId="0" borderId="1" xfId="0" applyFont="1" applyBorder="1" applyAlignment="1">
      <alignment horizontal="center" vertical="center" wrapText="1"/>
    </xf>
    <xf numFmtId="0" fontId="217" fillId="0" borderId="1" xfId="0" applyFont="1" applyBorder="1" applyAlignment="1">
      <alignment horizontal="center" vertical="center" wrapText="1"/>
    </xf>
    <xf numFmtId="0" fontId="218" fillId="0" borderId="1" xfId="0" applyFont="1" applyBorder="1" applyAlignment="1">
      <alignment horizontal="center" vertical="center" wrapText="1"/>
    </xf>
    <xf numFmtId="0" fontId="219" fillId="0" borderId="1" xfId="0" applyFont="1" applyBorder="1" applyAlignment="1">
      <alignment horizontal="center" vertical="center" wrapText="1"/>
    </xf>
    <xf numFmtId="0" fontId="220" fillId="0" borderId="1" xfId="0" applyFont="1" applyBorder="1" applyAlignment="1">
      <alignment horizontal="center" vertical="center" wrapText="1"/>
    </xf>
    <xf numFmtId="0" fontId="221" fillId="0" borderId="1" xfId="0" applyFont="1" applyBorder="1" applyAlignment="1">
      <alignment horizontal="center" vertical="center" wrapText="1"/>
    </xf>
    <xf numFmtId="0" fontId="222" fillId="0" borderId="1" xfId="0" applyFont="1" applyBorder="1" applyAlignment="1">
      <alignment horizontal="center" vertical="center" wrapText="1"/>
    </xf>
    <xf numFmtId="0" fontId="223" fillId="0" borderId="1" xfId="0" applyFont="1" applyBorder="1" applyAlignment="1">
      <alignment horizontal="center" vertical="center" wrapText="1"/>
    </xf>
    <xf numFmtId="0" fontId="224" fillId="0" borderId="1" xfId="0" applyFont="1" applyBorder="1" applyAlignment="1">
      <alignment horizontal="center" vertical="center" wrapText="1"/>
    </xf>
    <xf numFmtId="0" fontId="225" fillId="0" borderId="1" xfId="0" applyFont="1" applyBorder="1" applyAlignment="1">
      <alignment horizontal="center" vertical="center" wrapText="1"/>
    </xf>
    <xf numFmtId="0" fontId="226" fillId="0" borderId="1" xfId="0" applyFont="1" applyBorder="1" applyAlignment="1">
      <alignment horizontal="center" vertical="center" wrapText="1"/>
    </xf>
    <xf numFmtId="0" fontId="227" fillId="0" borderId="1" xfId="0" applyFont="1" applyBorder="1" applyAlignment="1">
      <alignment horizontal="center" vertical="center" wrapText="1"/>
    </xf>
    <xf numFmtId="0" fontId="228" fillId="0" borderId="1" xfId="0" applyFont="1" applyBorder="1" applyAlignment="1">
      <alignment horizontal="center" vertical="center" wrapText="1"/>
    </xf>
    <xf numFmtId="0" fontId="229" fillId="0" borderId="1" xfId="0" applyFont="1" applyBorder="1" applyAlignment="1">
      <alignment horizontal="center" vertical="center" wrapText="1"/>
    </xf>
    <xf numFmtId="0" fontId="230" fillId="0" borderId="1" xfId="0" applyFont="1" applyBorder="1" applyAlignment="1">
      <alignment horizontal="center" vertical="center" wrapText="1"/>
    </xf>
    <xf numFmtId="0" fontId="231" fillId="0" borderId="1" xfId="0" applyFont="1" applyBorder="1" applyAlignment="1">
      <alignment horizontal="center" vertical="center" wrapText="1"/>
    </xf>
    <xf numFmtId="0" fontId="232" fillId="0" borderId="1" xfId="0" applyFont="1" applyBorder="1" applyAlignment="1">
      <alignment horizontal="center" vertical="center" wrapText="1"/>
    </xf>
    <xf numFmtId="0" fontId="233" fillId="0" borderId="1" xfId="0" applyFont="1" applyBorder="1" applyAlignment="1">
      <alignment horizontal="center" vertical="center" wrapText="1"/>
    </xf>
    <xf numFmtId="0" fontId="234" fillId="0" borderId="1" xfId="0" applyFont="1" applyBorder="1" applyAlignment="1">
      <alignment horizontal="center" vertical="center" wrapText="1"/>
    </xf>
    <xf numFmtId="0" fontId="235" fillId="0" borderId="1" xfId="0" applyFont="1" applyBorder="1" applyAlignment="1">
      <alignment horizontal="center" vertical="center" wrapText="1"/>
    </xf>
    <xf numFmtId="0" fontId="236" fillId="0" borderId="1" xfId="0" applyFont="1" applyBorder="1" applyAlignment="1">
      <alignment horizontal="center" vertical="center" wrapText="1"/>
    </xf>
    <xf numFmtId="0" fontId="237" fillId="0" borderId="1" xfId="0" applyFont="1" applyBorder="1" applyAlignment="1">
      <alignment horizontal="center" vertical="center" wrapText="1"/>
    </xf>
    <xf numFmtId="0" fontId="238" fillId="0" borderId="1" xfId="0" applyFont="1" applyBorder="1" applyAlignment="1">
      <alignment horizontal="center" vertical="center" wrapText="1"/>
    </xf>
    <xf numFmtId="0" fontId="239" fillId="0" borderId="1" xfId="0" applyFont="1" applyBorder="1" applyAlignment="1">
      <alignment horizontal="center" vertical="center" wrapText="1"/>
    </xf>
    <xf numFmtId="0" fontId="240" fillId="0" borderId="1" xfId="0" applyFont="1" applyBorder="1" applyAlignment="1">
      <alignment horizontal="center" vertical="center" wrapText="1"/>
    </xf>
    <xf numFmtId="0" fontId="241" fillId="0" borderId="1" xfId="0" applyFont="1" applyBorder="1" applyAlignment="1">
      <alignment horizontal="center" vertical="center" wrapText="1"/>
    </xf>
    <xf numFmtId="0" fontId="242" fillId="0" borderId="1" xfId="0" applyFont="1" applyBorder="1" applyAlignment="1">
      <alignment horizontal="center" vertical="center" wrapText="1"/>
    </xf>
    <xf numFmtId="0" fontId="243" fillId="0" borderId="1" xfId="0" applyFont="1" applyBorder="1" applyAlignment="1">
      <alignment horizontal="center" vertical="center" wrapText="1"/>
    </xf>
    <xf numFmtId="0" fontId="244" fillId="0" borderId="1" xfId="0" applyFont="1" applyBorder="1" applyAlignment="1">
      <alignment horizontal="center" vertical="center" wrapText="1"/>
    </xf>
    <xf numFmtId="0" fontId="245" fillId="0" borderId="1" xfId="0" applyFont="1" applyBorder="1" applyAlignment="1">
      <alignment horizontal="center" vertical="center" wrapText="1"/>
    </xf>
    <xf numFmtId="0" fontId="246" fillId="0" borderId="1" xfId="0" applyFont="1" applyBorder="1" applyAlignment="1">
      <alignment horizontal="center" vertical="center" wrapText="1"/>
    </xf>
    <xf numFmtId="0" fontId="247" fillId="0" borderId="1" xfId="0" applyFont="1" applyBorder="1" applyAlignment="1">
      <alignment horizontal="center" vertical="center" wrapText="1"/>
    </xf>
    <xf numFmtId="0" fontId="248" fillId="0" borderId="1" xfId="0" applyFont="1" applyBorder="1" applyAlignment="1">
      <alignment horizontal="center" vertical="center" wrapText="1"/>
    </xf>
    <xf numFmtId="0" fontId="249" fillId="0" borderId="1" xfId="0" applyFont="1" applyBorder="1" applyAlignment="1">
      <alignment horizontal="center" vertical="center" wrapText="1"/>
    </xf>
    <xf numFmtId="0" fontId="250" fillId="0" borderId="1" xfId="0" applyFont="1" applyBorder="1" applyAlignment="1">
      <alignment horizontal="center" vertical="center" wrapText="1"/>
    </xf>
    <xf numFmtId="0" fontId="251" fillId="0" borderId="1" xfId="0" applyFont="1" applyBorder="1" applyAlignment="1">
      <alignment horizontal="center" vertical="center" wrapText="1"/>
    </xf>
    <xf numFmtId="0" fontId="252" fillId="0" borderId="1" xfId="0" applyFont="1" applyBorder="1" applyAlignment="1">
      <alignment horizontal="center" vertical="center" wrapText="1"/>
    </xf>
    <xf numFmtId="0" fontId="253" fillId="0" borderId="1" xfId="0" applyFont="1" applyBorder="1" applyAlignment="1">
      <alignment horizontal="center" vertical="center" wrapText="1"/>
    </xf>
    <xf numFmtId="0" fontId="254" fillId="0" borderId="1" xfId="0" applyFont="1" applyBorder="1" applyAlignment="1">
      <alignment horizontal="center" vertical="center" wrapText="1"/>
    </xf>
    <xf numFmtId="0" fontId="255" fillId="0" borderId="1" xfId="0" applyFont="1" applyBorder="1" applyAlignment="1">
      <alignment horizontal="center" vertical="center" wrapText="1"/>
    </xf>
    <xf numFmtId="0" fontId="0" fillId="0" borderId="1" xfId="0" applyBorder="1" applyAlignment="1">
      <alignment horizontal="center" vertical="center"/>
    </xf>
    <xf numFmtId="0" fontId="256" fillId="0" borderId="1" xfId="0" applyFont="1" applyBorder="1" applyAlignment="1">
      <alignment horizontal="center" vertical="center" wrapText="1"/>
    </xf>
    <xf numFmtId="0" fontId="256" fillId="0" borderId="1" xfId="0" applyFont="1" applyBorder="1" applyAlignment="1">
      <alignment horizontal="center" vertical="center"/>
    </xf>
    <xf numFmtId="0" fontId="256" fillId="2" borderId="1" xfId="0" applyFont="1" applyFill="1" applyBorder="1" applyAlignment="1">
      <alignment horizontal="center"/>
    </xf>
    <xf numFmtId="14" fontId="256" fillId="2" borderId="1" xfId="0" applyNumberFormat="1" applyFont="1" applyFill="1" applyBorder="1" applyAlignment="1">
      <alignment horizontal="center"/>
    </xf>
    <xf numFmtId="0" fontId="256" fillId="0" borderId="2" xfId="0" applyFont="1" applyBorder="1" applyAlignment="1">
      <alignment horizontal="center" vertical="center"/>
    </xf>
    <xf numFmtId="0" fontId="256" fillId="0" borderId="3" xfId="0" applyFont="1" applyBorder="1" applyAlignment="1">
      <alignment horizontal="center" vertical="center" wrapText="1"/>
    </xf>
    <xf numFmtId="0" fontId="256" fillId="0" borderId="4" xfId="0" applyFont="1" applyBorder="1" applyAlignment="1">
      <alignment horizontal="center" vertical="center" wrapText="1"/>
    </xf>
    <xf numFmtId="0" fontId="256" fillId="2" borderId="1" xfId="0" applyFont="1" applyFill="1" applyBorder="1"/>
    <xf numFmtId="0" fontId="0" fillId="3" borderId="1" xfId="0" applyFill="1" applyBorder="1" applyAlignment="1">
      <alignment horizontal="center" vertical="center" wrapText="1"/>
    </xf>
    <xf numFmtId="15" fontId="0" fillId="0" borderId="1" xfId="0" applyNumberFormat="1" applyBorder="1" applyAlignment="1">
      <alignment horizontal="center" vertical="center" wrapText="1"/>
    </xf>
  </cellXfs>
  <cellStyles count="1">
    <cellStyle name="Normal" xfId="0" builtinId="0"/>
  </cellStyles>
  <dxfs count="17">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ertAlign val="baseline"/>
        <sz val="11"/>
        <color indexed="12"/>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indexed="8"/>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15</xdr:col>
      <xdr:colOff>19050</xdr:colOff>
      <xdr:row>0</xdr:row>
      <xdr:rowOff>0</xdr:rowOff>
    </xdr:from>
    <xdr:to>
      <xdr:col>18</xdr:col>
      <xdr:colOff>19050</xdr:colOff>
      <xdr:row>6</xdr:row>
      <xdr:rowOff>114300</xdr:rowOff>
    </xdr:to>
    <mc:AlternateContent xmlns:mc="http://schemas.openxmlformats.org/markup-compatibility/2006" xmlns:sle15="http://schemas.microsoft.com/office/drawing/2012/slicer">
      <mc:Choice Requires="sle15">
        <xdr:graphicFrame macro="">
          <xdr:nvGraphicFramePr>
            <xdr:cNvPr id="4"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801725" y="0"/>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cache="Slicer_Status" caption="Status" rowHeight="241300"/>
</slicers>
</file>

<file path=xl/tables/table1.xml><?xml version="1.0" encoding="utf-8"?>
<table xmlns="http://schemas.openxmlformats.org/spreadsheetml/2006/main" id="1" name="Table1" displayName="Table1" ref="D11:O272" totalsRowShown="0" headerRowDxfId="16" dataDxfId="14" headerRowBorderDxfId="15" tableBorderDxfId="13" totalsRowBorderDxfId="12">
  <autoFilter ref="D11:O272"/>
  <tableColumns count="12">
    <tableColumn id="1" name="S.NO" dataDxfId="11"/>
    <tableColumn id="2" name="Location" dataDxfId="10"/>
    <tableColumn id="3" name="Tender Authority" dataDxfId="9"/>
    <tableColumn id="4" name="Summary" dataDxfId="8"/>
    <tableColumn id="5" name="Tender Amount in Cr" dataDxfId="7">
      <calculatedColumnFormula>I12/10000000</calculatedColumnFormula>
    </tableColumn>
    <tableColumn id="6" name="Tender Amount" dataDxfId="6"/>
    <tableColumn id="7" name="EMD" dataDxfId="5"/>
    <tableColumn id="8" name="Opening Date" dataDxfId="4"/>
    <tableColumn id="9" name="Closing Date" dataDxfId="3"/>
    <tableColumn id="10" name="Status" dataDxfId="2">
      <calculatedColumnFormula>IF(L12&lt;$I$7,"Closed",IF(L12&gt;$I$7,"Open",IF(L12=$I$7,"Closing Today","NA")))</calculatedColumnFormula>
    </tableColumn>
    <tableColumn id="11" name="Tender Id" dataDxfId="1"/>
    <tableColumn id="12" name="Tender N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idassist.com/tender/detail/cb65004c-a60e-43d5-8869-90c2f893c16f?utm_source=BAS-Registered&amp;amp;utm_campaign=emailtenderlist&amp;amp;utm_content=cb65004c-a60e-43d5-8869-90c2f893c16f&amp;amp;utm_medium=email&amp;amp;utm-term=2026-03-05-09-31-38" TargetMode="External"/><Relationship Id="rId21" Type="http://schemas.openxmlformats.org/officeDocument/2006/relationships/hyperlink" Target="https://bidassist.com/tender/detail/5793601e-665f-46bb-bbb3-306767bf5475?utm_source=BAS-Registered&amp;amp;utm_campaign=emailtenderlist&amp;amp;utm_content=5793601e-665f-46bb-bbb3-306767bf5475&amp;amp;utm_medium=email&amp;amp;utm-term=2026-03-05-09-31-38" TargetMode="External"/><Relationship Id="rId42" Type="http://schemas.openxmlformats.org/officeDocument/2006/relationships/hyperlink" Target="https://bidassist.com/tender/detail/ef34dbb9-33a8-47cf-a3d6-b28d792e1ffe?utm_source=BAS-Registered&amp;amp;utm_campaign=emailtenderlist&amp;amp;utm_content=ef34dbb9-33a8-47cf-a3d6-b28d792e1ffe&amp;amp;utm_medium=email&amp;amp;utm-term=2026-03-05-09-31-38" TargetMode="External"/><Relationship Id="rId63" Type="http://schemas.openxmlformats.org/officeDocument/2006/relationships/hyperlink" Target="https://bidassist.com/tender/detail/aa4fa364-c56e-4c5c-a899-b439be4e87b9?utm_source=BAS-Registered&amp;amp;utm_campaign=emailtenderlist&amp;amp;utm_content=aa4fa364-c56e-4c5c-a899-b439be4e87b9&amp;amp;utm_medium=email&amp;amp;utm-term=2026-03-05-09-31-38" TargetMode="External"/><Relationship Id="rId84" Type="http://schemas.openxmlformats.org/officeDocument/2006/relationships/hyperlink" Target="https://bidassist.com/tender/detail/4a7fb24c-8f53-44fd-b46e-9c8e84c184e3?utm_source=BAS-Registered&amp;amp;utm_campaign=emailtenderlist&amp;amp;utm_content=4a7fb24c-8f53-44fd-b46e-9c8e84c184e3&amp;amp;utm_medium=email&amp;amp;utm-term=2026-03-05-09-31-38" TargetMode="External"/><Relationship Id="rId138" Type="http://schemas.openxmlformats.org/officeDocument/2006/relationships/hyperlink" Target="https://bidassist.com/tender/detail/baa490ea-ae68-422b-8123-5a86d7f1f698?utm_source=BAS-Registered&amp;amp;utm_campaign=emailtenderlist&amp;amp;utm_content=baa490ea-ae68-422b-8123-5a86d7f1f698&amp;amp;utm_medium=email&amp;amp;utm-term=2026-03-05-09-31-38" TargetMode="External"/><Relationship Id="rId159" Type="http://schemas.openxmlformats.org/officeDocument/2006/relationships/hyperlink" Target="https://bidassist.com/tender/detail/e1ff0a7c-f979-4036-bf4d-d67a7155b1ba?utm_source=BAS-Registered&amp;amp;utm_campaign=emailtenderlist&amp;amp;utm_content=e1ff0a7c-f979-4036-bf4d-d67a7155b1ba&amp;amp;utm_medium=email&amp;amp;utm-term=2026-03-05-09-31-38" TargetMode="External"/><Relationship Id="rId170" Type="http://schemas.openxmlformats.org/officeDocument/2006/relationships/hyperlink" Target="https://bidassist.com/tender/detail/8d078776-ef24-4715-afe2-c6090f956daa?utm_source=BAS-Registered&amp;amp;utm_campaign=emailtenderlist&amp;amp;utm_content=8d078776-ef24-4715-afe2-c6090f956daa&amp;amp;utm_medium=email&amp;amp;utm-term=2026-03-05-09-31-38" TargetMode="External"/><Relationship Id="rId191" Type="http://schemas.openxmlformats.org/officeDocument/2006/relationships/hyperlink" Target="https://bidassist.com/tender/detail/6989fa58-5e38-4f5d-945c-91223ba77bf7?utm_source=BAS-Registered&amp;amp;utm_campaign=emailtenderlist&amp;amp;utm_content=6989fa58-5e38-4f5d-945c-91223ba77bf7&amp;amp;utm_medium=email&amp;amp;utm-term=2026-03-05-09-31-38" TargetMode="External"/><Relationship Id="rId205" Type="http://schemas.openxmlformats.org/officeDocument/2006/relationships/hyperlink" Target="https://bidassist.com/tender/detail/803446a4-780e-41be-9632-2ae5c612ef5f?utm_source=BAS-Registered&amp;amp;utm_campaign=emailtenderlist&amp;amp;utm_content=803446a4-780e-41be-9632-2ae5c612ef5f&amp;amp;utm_medium=email&amp;amp;utm-term=2026-03-05-09-31-38" TargetMode="External"/><Relationship Id="rId226" Type="http://schemas.openxmlformats.org/officeDocument/2006/relationships/hyperlink" Target="https://bidassist.com/tender/detail/0a17b557-1ef3-4a68-ad84-2ef5a39c29ac?utm_source=BAS-Registered&amp;amp;utm_campaign=emailtenderlist&amp;amp;utm_content=0a17b557-1ef3-4a68-ad84-2ef5a39c29ac&amp;amp;utm_medium=email&amp;amp;utm-term=2026-03-05-09-31-38" TargetMode="External"/><Relationship Id="rId247" Type="http://schemas.openxmlformats.org/officeDocument/2006/relationships/hyperlink" Target="https://bidassist.com/tender/detail/31ed3917-845c-4c6e-95e7-e13466cc15ab?utm_source=BAS-Registered&amp;amp;utm_campaign=emailtenderlist&amp;amp;utm_content=31ed3917-845c-4c6e-95e7-e13466cc15ab&amp;amp;utm_medium=email&amp;amp;utm-term=2026-03-05-09-31-38" TargetMode="External"/><Relationship Id="rId107" Type="http://schemas.openxmlformats.org/officeDocument/2006/relationships/hyperlink" Target="https://bidassist.com/tender/detail/c1fddd05-6bce-47c3-b94f-22fb58146fb2?utm_source=BAS-Registered&amp;amp;utm_campaign=emailtenderlist&amp;amp;utm_content=c1fddd05-6bce-47c3-b94f-22fb58146fb2&amp;amp;utm_medium=email&amp;amp;utm-term=2026-03-05-09-31-38" TargetMode="External"/><Relationship Id="rId11" Type="http://schemas.openxmlformats.org/officeDocument/2006/relationships/hyperlink" Target="https://bidassist.com/tender/detail/2031f150-ca23-4dd1-836a-fcf8e76b2ddc?utm_source=BAS-Registered&amp;amp;utm_campaign=emailtenderlist&amp;amp;utm_content=2031f150-ca23-4dd1-836a-fcf8e76b2ddc&amp;amp;utm_medium=email&amp;amp;utm-term=2026-03-05-09-31-38" TargetMode="External"/><Relationship Id="rId32" Type="http://schemas.openxmlformats.org/officeDocument/2006/relationships/hyperlink" Target="https://bidassist.com/tender/detail/9ac9f66b-1400-45cd-8605-d23f8c82bdc8?utm_source=BAS-Registered&amp;amp;utm_campaign=emailtenderlist&amp;amp;utm_content=9ac9f66b-1400-45cd-8605-d23f8c82bdc8&amp;amp;utm_medium=email&amp;amp;utm-term=2026-03-05-09-31-38" TargetMode="External"/><Relationship Id="rId53" Type="http://schemas.openxmlformats.org/officeDocument/2006/relationships/hyperlink" Target="https://bidassist.com/tender/detail/739138a6-220e-41eb-af10-f59ef0e44379?utm_source=BAS-Registered&amp;amp;utm_campaign=emailtenderlist&amp;amp;utm_content=739138a6-220e-41eb-af10-f59ef0e44379&amp;amp;utm_medium=email&amp;amp;utm-term=2026-03-05-09-31-38" TargetMode="External"/><Relationship Id="rId74" Type="http://schemas.openxmlformats.org/officeDocument/2006/relationships/hyperlink" Target="https://bidassist.com/tender/detail/9f76d6e7-5257-437b-9320-33a52fa23fea?utm_source=BAS-Registered&amp;amp;utm_campaign=emailtenderlist&amp;amp;utm_content=9f76d6e7-5257-437b-9320-33a52fa23fea&amp;amp;utm_medium=email&amp;amp;utm-term=2026-03-05-09-31-38" TargetMode="External"/><Relationship Id="rId128" Type="http://schemas.openxmlformats.org/officeDocument/2006/relationships/hyperlink" Target="https://bidassist.com/tender/detail/9e35358c-6bdf-46fc-8695-bc22cbc2fe9b?utm_source=BAS-Registered&amp;amp;utm_campaign=emailtenderlist&amp;amp;utm_content=9e35358c-6bdf-46fc-8695-bc22cbc2fe9b&amp;amp;utm_medium=email&amp;amp;utm-term=2026-03-05-09-31-38" TargetMode="External"/><Relationship Id="rId149" Type="http://schemas.openxmlformats.org/officeDocument/2006/relationships/hyperlink" Target="https://bidassist.com/tender/detail/3fc6e9e9-5c40-4bbd-8915-95c1401ef5a9?utm_source=BAS-Registered&amp;amp;utm_campaign=emailtenderlist&amp;amp;utm_content=3fc6e9e9-5c40-4bbd-8915-95c1401ef5a9&amp;amp;utm_medium=email&amp;amp;utm-term=2026-03-05-09-31-38" TargetMode="External"/><Relationship Id="rId5" Type="http://schemas.openxmlformats.org/officeDocument/2006/relationships/hyperlink" Target="https://bidassist.com/tender/detail/f5d634a2-28b3-40a1-b476-d4ada078cf76?utm_source=BAS-Registered&amp;amp;utm_campaign=emailtenderlist&amp;amp;utm_content=f5d634a2-28b3-40a1-b476-d4ada078cf76&amp;amp;utm_medium=email&amp;amp;utm-term=2026-03-05-09-31-38" TargetMode="External"/><Relationship Id="rId95" Type="http://schemas.openxmlformats.org/officeDocument/2006/relationships/hyperlink" Target="https://bidassist.com/tender/detail/d2d1b817-ef87-40bd-88d5-f1a24c6c6ffa?utm_source=BAS-Registered&amp;amp;utm_campaign=emailtenderlist&amp;amp;utm_content=d2d1b817-ef87-40bd-88d5-f1a24c6c6ffa&amp;amp;utm_medium=email&amp;amp;utm-term=2026-03-05-09-31-38" TargetMode="External"/><Relationship Id="rId160" Type="http://schemas.openxmlformats.org/officeDocument/2006/relationships/hyperlink" Target="https://bidassist.com/tender/detail/b648817f-cf78-422a-a3a0-c97f17b9ce1a?utm_source=BAS-Registered&amp;amp;utm_campaign=emailtenderlist&amp;amp;utm_content=b648817f-cf78-422a-a3a0-c97f17b9ce1a&amp;amp;utm_medium=email&amp;amp;utm-term=2026-03-05-09-31-38" TargetMode="External"/><Relationship Id="rId181" Type="http://schemas.openxmlformats.org/officeDocument/2006/relationships/hyperlink" Target="https://bidassist.com/tender/detail/a4443a65-3d67-46af-9f5b-ea139e952a22?utm_source=BAS-Registered&amp;amp;utm_campaign=emailtenderlist&amp;amp;utm_content=a4443a65-3d67-46af-9f5b-ea139e952a22&amp;amp;utm_medium=email&amp;amp;utm-term=2026-03-05-09-31-38" TargetMode="External"/><Relationship Id="rId216" Type="http://schemas.openxmlformats.org/officeDocument/2006/relationships/hyperlink" Target="https://bidassist.com/tender/detail/6955a301-2fcd-42de-9d62-a634f1b1bf6d?utm_source=BAS-Registered&amp;amp;utm_campaign=emailtenderlist&amp;amp;utm_content=6955a301-2fcd-42de-9d62-a634f1b1bf6d&amp;amp;utm_medium=email&amp;amp;utm-term=2026-03-05-09-31-38" TargetMode="External"/><Relationship Id="rId237" Type="http://schemas.openxmlformats.org/officeDocument/2006/relationships/hyperlink" Target="https://bidassist.com/tender/detail/cd846856-dd40-4693-bfe1-8b0349b188ef?utm_source=BAS-Registered&amp;amp;utm_campaign=emailtenderlist&amp;amp;utm_content=cd846856-dd40-4693-bfe1-8b0349b188ef&amp;amp;utm_medium=email&amp;amp;utm-term=2026-03-05-09-31-38" TargetMode="External"/><Relationship Id="rId22" Type="http://schemas.openxmlformats.org/officeDocument/2006/relationships/hyperlink" Target="https://bidassist.com/tender/detail/0df01af6-493d-4334-b0ed-d4f513160797?utm_source=BAS-Registered&amp;amp;utm_campaign=emailtenderlist&amp;amp;utm_content=0df01af6-493d-4334-b0ed-d4f513160797&amp;amp;utm_medium=email&amp;amp;utm-term=2026-03-05-09-31-38" TargetMode="External"/><Relationship Id="rId43" Type="http://schemas.openxmlformats.org/officeDocument/2006/relationships/hyperlink" Target="https://bidassist.com/tender/detail/23705457-87f8-43e3-ab2a-350bb93c102d?utm_source=BAS-Registered&amp;amp;utm_campaign=emailtenderlist&amp;amp;utm_content=23705457-87f8-43e3-ab2a-350bb93c102d&amp;amp;utm_medium=email&amp;amp;utm-term=2026-03-05-09-31-38" TargetMode="External"/><Relationship Id="rId64" Type="http://schemas.openxmlformats.org/officeDocument/2006/relationships/hyperlink" Target="https://bidassist.com/tender/detail/e7aeecef-ca8d-4e27-8171-67c168da69fe?utm_source=BAS-Registered&amp;amp;utm_campaign=emailtenderlist&amp;amp;utm_content=e7aeecef-ca8d-4e27-8171-67c168da69fe&amp;amp;utm_medium=email&amp;amp;utm-term=2026-03-05-09-31-38" TargetMode="External"/><Relationship Id="rId118" Type="http://schemas.openxmlformats.org/officeDocument/2006/relationships/hyperlink" Target="https://bidassist.com/tender/detail/cebc6813-9e98-418c-a1c6-bfebd1e72876?utm_source=BAS-Registered&amp;amp;utm_campaign=emailtenderlist&amp;amp;utm_content=cebc6813-9e98-418c-a1c6-bfebd1e72876&amp;amp;utm_medium=email&amp;amp;utm-term=2026-03-05-09-31-38" TargetMode="External"/><Relationship Id="rId139" Type="http://schemas.openxmlformats.org/officeDocument/2006/relationships/hyperlink" Target="https://bidassist.com/tender/detail/d25a0bba-fc61-4553-8203-30b9ddc5c082?utm_source=BAS-Registered&amp;amp;utm_campaign=emailtenderlist&amp;amp;utm_content=d25a0bba-fc61-4553-8203-30b9ddc5c082&amp;amp;utm_medium=email&amp;amp;utm-term=2026-03-05-09-31-38" TargetMode="External"/><Relationship Id="rId85" Type="http://schemas.openxmlformats.org/officeDocument/2006/relationships/hyperlink" Target="https://bidassist.com/tender/detail/4d68f64f-fccd-45b5-9a42-816879773d90?utm_source=BAS-Registered&amp;amp;utm_campaign=emailtenderlist&amp;amp;utm_content=4d68f64f-fccd-45b5-9a42-816879773d90&amp;amp;utm_medium=email&amp;amp;utm-term=2026-03-05-09-31-38" TargetMode="External"/><Relationship Id="rId150" Type="http://schemas.openxmlformats.org/officeDocument/2006/relationships/hyperlink" Target="https://bidassist.com/tender/detail/0eb0bd64-1ced-485a-8616-debb4fd215a5?utm_source=BAS-Registered&amp;amp;utm_campaign=emailtenderlist&amp;amp;utm_content=0eb0bd64-1ced-485a-8616-debb4fd215a5&amp;amp;utm_medium=email&amp;amp;utm-term=2026-03-05-09-31-38" TargetMode="External"/><Relationship Id="rId171" Type="http://schemas.openxmlformats.org/officeDocument/2006/relationships/hyperlink" Target="https://bidassist.com/tender/detail/df999632-bb1d-46c2-90fe-5833773aab85?utm_source=BAS-Registered&amp;amp;utm_campaign=emailtenderlist&amp;amp;utm_content=df999632-bb1d-46c2-90fe-5833773aab85&amp;amp;utm_medium=email&amp;amp;utm-term=2026-03-05-09-31-38" TargetMode="External"/><Relationship Id="rId192" Type="http://schemas.openxmlformats.org/officeDocument/2006/relationships/hyperlink" Target="https://bidassist.com/tender/detail/73e55917-43e3-4879-97f3-b2d2a35c549a?utm_source=BAS-Registered&amp;amp;utm_campaign=emailtenderlist&amp;amp;utm_content=73e55917-43e3-4879-97f3-b2d2a35c549a&amp;amp;utm_medium=email&amp;amp;utm-term=2026-03-05-09-31-38" TargetMode="External"/><Relationship Id="rId206" Type="http://schemas.openxmlformats.org/officeDocument/2006/relationships/hyperlink" Target="https://bidassist.com/tender/detail/41d8bbb1-9740-4322-bbd1-0de6a9c7bead?utm_source=BAS-Registered&amp;amp;utm_campaign=emailtenderlist&amp;amp;utm_content=41d8bbb1-9740-4322-bbd1-0de6a9c7bead&amp;amp;utm_medium=email&amp;amp;utm-term=2026-03-05-09-31-38" TargetMode="External"/><Relationship Id="rId227" Type="http://schemas.openxmlformats.org/officeDocument/2006/relationships/hyperlink" Target="https://bidassist.com/tender/detail/0a5aa559-a653-42dc-8b48-b9a39389561d?utm_source=BAS-Registered&amp;amp;utm_campaign=emailtenderlist&amp;amp;utm_content=0a5aa559-a653-42dc-8b48-b9a39389561d&amp;amp;utm_medium=email&amp;amp;utm-term=2026-03-05-09-31-38" TargetMode="External"/><Relationship Id="rId248" Type="http://schemas.openxmlformats.org/officeDocument/2006/relationships/hyperlink" Target="https://bidassist.com/tender/detail/3f344c09-54d5-4402-92d8-128ad0b625a4?utm_source=BAS-Registered&amp;amp;utm_campaign=emailtenderlist&amp;amp;utm_content=3f344c09-54d5-4402-92d8-128ad0b625a4&amp;amp;utm_medium=email&amp;amp;utm-term=2026-03-05-09-31-38" TargetMode="External"/><Relationship Id="rId12" Type="http://schemas.openxmlformats.org/officeDocument/2006/relationships/hyperlink" Target="https://bidassist.com/tender/detail/3162b52b-e6ca-40e6-af3f-d6cc9f4e0931?utm_source=BAS-Registered&amp;amp;utm_campaign=emailtenderlist&amp;amp;utm_content=3162b52b-e6ca-40e6-af3f-d6cc9f4e0931&amp;amp;utm_medium=email&amp;amp;utm-term=2026-03-05-09-31-38" TargetMode="External"/><Relationship Id="rId33" Type="http://schemas.openxmlformats.org/officeDocument/2006/relationships/hyperlink" Target="https://bidassist.com/tender/detail/c22a1db3-2a98-4464-b47c-c395cbfa8166?utm_source=BAS-Registered&amp;amp;utm_campaign=emailtenderlist&amp;amp;utm_content=c22a1db3-2a98-4464-b47c-c395cbfa8166&amp;amp;utm_medium=email&amp;amp;utm-term=2026-03-05-09-31-38" TargetMode="External"/><Relationship Id="rId108" Type="http://schemas.openxmlformats.org/officeDocument/2006/relationships/hyperlink" Target="https://bidassist.com/tender/detail/d79151fd-c3cc-427e-9bbe-2082338347b1?utm_source=BAS-Registered&amp;amp;utm_campaign=emailtenderlist&amp;amp;utm_content=d79151fd-c3cc-427e-9bbe-2082338347b1&amp;amp;utm_medium=email&amp;amp;utm-term=2026-03-05-09-31-38" TargetMode="External"/><Relationship Id="rId129" Type="http://schemas.openxmlformats.org/officeDocument/2006/relationships/hyperlink" Target="https://bidassist.com/tender/detail/acf7f95e-2cfc-4d96-b03c-b867d9b4117f?utm_source=BAS-Registered&amp;amp;utm_campaign=emailtenderlist&amp;amp;utm_content=acf7f95e-2cfc-4d96-b03c-b867d9b4117f&amp;amp;utm_medium=email&amp;amp;utm-term=2026-03-05-09-31-38" TargetMode="External"/><Relationship Id="rId54" Type="http://schemas.openxmlformats.org/officeDocument/2006/relationships/hyperlink" Target="https://bidassist.com/tender/detail/84380fcd-691a-469d-bec2-ec77c9d742f8?utm_source=BAS-Registered&amp;amp;utm_campaign=emailtenderlist&amp;amp;utm_content=84380fcd-691a-469d-bec2-ec77c9d742f8&amp;amp;utm_medium=email&amp;amp;utm-term=2026-03-05-09-31-38" TargetMode="External"/><Relationship Id="rId75" Type="http://schemas.openxmlformats.org/officeDocument/2006/relationships/hyperlink" Target="https://bidassist.com/tender/detail/a2cecf17-a632-4e71-8705-8ad624d9bbd6?utm_source=BAS-Registered&amp;amp;utm_campaign=emailtenderlist&amp;amp;utm_content=a2cecf17-a632-4e71-8705-8ad624d9bbd6&amp;amp;utm_medium=email&amp;amp;utm-term=2026-03-05-09-31-38" TargetMode="External"/><Relationship Id="rId96" Type="http://schemas.openxmlformats.org/officeDocument/2006/relationships/hyperlink" Target="https://bidassist.com/tender/detail/de25cb61-6d94-4448-a433-451472c192f3?utm_source=BAS-Registered&amp;amp;utm_campaign=emailtenderlist&amp;amp;utm_content=de25cb61-6d94-4448-a433-451472c192f3&amp;amp;utm_medium=email&amp;amp;utm-term=2026-03-05-09-31-38" TargetMode="External"/><Relationship Id="rId140" Type="http://schemas.openxmlformats.org/officeDocument/2006/relationships/hyperlink" Target="https://bidassist.com/tender/detail/ec4a0a20-c9dc-4fac-9e74-bbe850893c98?utm_source=BAS-Registered&amp;amp;utm_campaign=emailtenderlist&amp;amp;utm_content=ec4a0a20-c9dc-4fac-9e74-bbe850893c98&amp;amp;utm_medium=email&amp;amp;utm-term=2026-03-05-09-31-38" TargetMode="External"/><Relationship Id="rId161" Type="http://schemas.openxmlformats.org/officeDocument/2006/relationships/hyperlink" Target="https://bidassist.com/tender/detail/b931f9e9-0fd8-414a-b8ba-8f15a1354d13?utm_source=BAS-Registered&amp;amp;utm_campaign=emailtenderlist&amp;amp;utm_content=b931f9e9-0fd8-414a-b8ba-8f15a1354d13&amp;amp;utm_medium=email&amp;amp;utm-term=2026-03-05-09-31-38" TargetMode="External"/><Relationship Id="rId182" Type="http://schemas.openxmlformats.org/officeDocument/2006/relationships/hyperlink" Target="https://bidassist.com/tender/detail/a460ce11-7fa2-4bc9-8471-00a7e85b4e84?utm_source=BAS-Registered&amp;amp;utm_campaign=emailtenderlist&amp;amp;utm_content=a460ce11-7fa2-4bc9-8471-00a7e85b4e84&amp;amp;utm_medium=email&amp;amp;utm-term=2026-03-05-09-31-38" TargetMode="External"/><Relationship Id="rId217" Type="http://schemas.openxmlformats.org/officeDocument/2006/relationships/hyperlink" Target="https://bidassist.com/tender/detail/457e5fc4-47ad-4668-a80f-ca9052f5fe5b?utm_source=BAS-Registered&amp;amp;utm_campaign=emailtenderlist&amp;amp;utm_content=457e5fc4-47ad-4668-a80f-ca9052f5fe5b&amp;amp;utm_medium=email&amp;amp;utm-term=2026-03-05-09-31-38" TargetMode="External"/><Relationship Id="rId6" Type="http://schemas.openxmlformats.org/officeDocument/2006/relationships/hyperlink" Target="https://bidassist.com/tender/detail/ff30d218-7107-4612-a7f0-9eec6ef9b0b3?utm_source=BAS-Registered&amp;amp;utm_campaign=emailtenderlist&amp;amp;utm_content=ff30d218-7107-4612-a7f0-9eec6ef9b0b3&amp;amp;utm_medium=email&amp;amp;utm-term=2026-03-05-09-31-38" TargetMode="External"/><Relationship Id="rId238" Type="http://schemas.openxmlformats.org/officeDocument/2006/relationships/hyperlink" Target="https://bidassist.com/tender/detail/e663d7c3-38bc-4c25-87a1-5f8ddc0537d1?utm_source=BAS-Registered&amp;amp;utm_campaign=emailtenderlist&amp;amp;utm_content=e663d7c3-38bc-4c25-87a1-5f8ddc0537d1&amp;amp;utm_medium=email&amp;amp;utm-term=2026-03-05-09-31-38" TargetMode="External"/><Relationship Id="rId23" Type="http://schemas.openxmlformats.org/officeDocument/2006/relationships/hyperlink" Target="https://bidassist.com/tender/detail/e554b671-973b-470c-8607-4b897df8fd8d?utm_source=BAS-Registered&amp;amp;utm_campaign=emailtenderlist&amp;amp;utm_content=e554b671-973b-470c-8607-4b897df8fd8d&amp;amp;utm_medium=email&amp;amp;utm-term=2026-03-05-09-31-38" TargetMode="External"/><Relationship Id="rId119" Type="http://schemas.openxmlformats.org/officeDocument/2006/relationships/hyperlink" Target="https://bidassist.com/tender/detail/dd011ea1-cc9f-41a4-ba67-261283aa10dc?utm_source=BAS-Registered&amp;amp;utm_campaign=emailtenderlist&amp;amp;utm_content=dd011ea1-cc9f-41a4-ba67-261283aa10dc&amp;amp;utm_medium=email&amp;amp;utm-term=2026-03-05-09-31-38" TargetMode="External"/><Relationship Id="rId44" Type="http://schemas.openxmlformats.org/officeDocument/2006/relationships/hyperlink" Target="https://bidassist.com/tender/detail/0f8c45cc-7923-44ea-bf48-c59fa190e506?utm_source=BAS-Registered&amp;amp;utm_campaign=emailtenderlist&amp;amp;utm_content=0f8c45cc-7923-44ea-bf48-c59fa190e506&amp;amp;utm_medium=email&amp;amp;utm-term=2026-03-05-09-31-38" TargetMode="External"/><Relationship Id="rId65" Type="http://schemas.openxmlformats.org/officeDocument/2006/relationships/hyperlink" Target="https://bidassist.com/tender/detail/ec53b60b-a3f2-40dc-811a-89b4b5b2a035?utm_source=BAS-Registered&amp;amp;utm_campaign=emailtenderlist&amp;amp;utm_content=ec53b60b-a3f2-40dc-811a-89b4b5b2a035&amp;amp;utm_medium=email&amp;amp;utm-term=2026-03-05-09-31-38" TargetMode="External"/><Relationship Id="rId86" Type="http://schemas.openxmlformats.org/officeDocument/2006/relationships/hyperlink" Target="https://bidassist.com/tender/detail/50cb108b-8a10-4597-bd9d-626fe0cfeed1?utm_source=BAS-Registered&amp;amp;utm_campaign=emailtenderlist&amp;amp;utm_content=50cb108b-8a10-4597-bd9d-626fe0cfeed1&amp;amp;utm_medium=email&amp;amp;utm-term=2026-03-05-09-31-38" TargetMode="External"/><Relationship Id="rId130" Type="http://schemas.openxmlformats.org/officeDocument/2006/relationships/hyperlink" Target="https://bidassist.com/tender/detail/afe4eeda-ff8c-4824-8dd9-89c5d1e41541?utm_source=BAS-Registered&amp;amp;utm_campaign=emailtenderlist&amp;amp;utm_content=afe4eeda-ff8c-4824-8dd9-89c5d1e41541&amp;amp;utm_medium=email&amp;amp;utm-term=2026-03-05-09-31-38" TargetMode="External"/><Relationship Id="rId151" Type="http://schemas.openxmlformats.org/officeDocument/2006/relationships/hyperlink" Target="https://bidassist.com/tender/detail/1c43c06b-9237-4db0-97ad-777861edb710?utm_source=BAS-Registered&amp;amp;utm_campaign=emailtenderlist&amp;amp;utm_content=1c43c06b-9237-4db0-97ad-777861edb710&amp;amp;utm_medium=email&amp;amp;utm-term=2026-03-05-09-31-38" TargetMode="External"/><Relationship Id="rId172" Type="http://schemas.openxmlformats.org/officeDocument/2006/relationships/hyperlink" Target="https://bidassist.com/tender/detail/e87c0166-429b-493b-bf68-f3c5e57657a6?utm_source=BAS-Registered&amp;amp;utm_campaign=emailtenderlist&amp;amp;utm_content=e87c0166-429b-493b-bf68-f3c5e57657a6&amp;amp;utm_medium=email&amp;amp;utm-term=2026-03-05-09-31-38" TargetMode="External"/><Relationship Id="rId193" Type="http://schemas.openxmlformats.org/officeDocument/2006/relationships/hyperlink" Target="https://bidassist.com/tender/detail/7c5124d3-cc4e-4944-9894-f6402216784c?utm_source=BAS-Registered&amp;amp;utm_campaign=emailtenderlist&amp;amp;utm_content=7c5124d3-cc4e-4944-9894-f6402216784c&amp;amp;utm_medium=email&amp;amp;utm-term=2026-03-05-09-31-38" TargetMode="External"/><Relationship Id="rId207" Type="http://schemas.openxmlformats.org/officeDocument/2006/relationships/hyperlink" Target="https://bidassist.com/tender/detail/77b7eeeb-7bfa-45c5-b473-7f146449eb81?utm_source=BAS-Registered&amp;amp;utm_campaign=emailtenderlist&amp;amp;utm_content=77b7eeeb-7bfa-45c5-b473-7f146449eb81&amp;amp;utm_medium=email&amp;amp;utm-term=2026-03-05-09-31-38" TargetMode="External"/><Relationship Id="rId228" Type="http://schemas.openxmlformats.org/officeDocument/2006/relationships/hyperlink" Target="https://bidassist.com/tender/detail/1d7803b6-bb0e-4e6e-950a-43f45dbb7282?utm_source=BAS-Registered&amp;amp;utm_campaign=emailtenderlist&amp;amp;utm_content=1d7803b6-bb0e-4e6e-950a-43f45dbb7282&amp;amp;utm_medium=email&amp;amp;utm-term=2026-03-05-09-31-38" TargetMode="External"/><Relationship Id="rId249" Type="http://schemas.openxmlformats.org/officeDocument/2006/relationships/hyperlink" Target="https://bidassist.com/tender/detail/3f600897-fb46-4a6c-a775-c5d28570b2d4?utm_source=BAS-Registered&amp;amp;utm_campaign=emailtenderlist&amp;amp;utm_content=3f600897-fb46-4a6c-a775-c5d28570b2d4&amp;amp;utm_medium=email&amp;amp;utm-term=2026-03-05-09-31-38" TargetMode="External"/><Relationship Id="rId13" Type="http://schemas.openxmlformats.org/officeDocument/2006/relationships/hyperlink" Target="https://bidassist.com/tender/detail/a09e5a83-9e0e-4d5c-8fd0-72b05325973f?utm_source=BAS-Registered&amp;amp;utm_campaign=emailtenderlist&amp;amp;utm_content=a09e5a83-9e0e-4d5c-8fd0-72b05325973f&amp;amp;utm_medium=email&amp;amp;utm-term=2026-03-05-09-31-38" TargetMode="External"/><Relationship Id="rId109" Type="http://schemas.openxmlformats.org/officeDocument/2006/relationships/hyperlink" Target="https://bidassist.com/tender/detail/07e0d461-5ea4-471a-bb4f-208645435af2?utm_source=BAS-Registered&amp;amp;utm_campaign=emailtenderlist&amp;amp;utm_content=07e0d461-5ea4-471a-bb4f-208645435af2&amp;amp;utm_medium=email&amp;amp;utm-term=2026-03-05-09-31-38" TargetMode="External"/><Relationship Id="rId34" Type="http://schemas.openxmlformats.org/officeDocument/2006/relationships/hyperlink" Target="https://bidassist.com/tender/detail/ed37df17-efc7-4917-9083-0152fa73c4b9?utm_source=BAS-Registered&amp;amp;utm_campaign=emailtenderlist&amp;amp;utm_content=ed37df17-efc7-4917-9083-0152fa73c4b9&amp;amp;utm_medium=email&amp;amp;utm-term=2026-03-05-09-31-38" TargetMode="External"/><Relationship Id="rId55" Type="http://schemas.openxmlformats.org/officeDocument/2006/relationships/hyperlink" Target="https://bidassist.com/tender/detail/85eb52c2-90c0-491d-b67d-b7f8a51f731f?utm_source=BAS-Registered&amp;amp;utm_campaign=emailtenderlist&amp;amp;utm_content=85eb52c2-90c0-491d-b67d-b7f8a51f731f&amp;amp;utm_medium=email&amp;amp;utm-term=2026-03-05-09-31-38" TargetMode="External"/><Relationship Id="rId76" Type="http://schemas.openxmlformats.org/officeDocument/2006/relationships/hyperlink" Target="https://bidassist.com/tender/detail/05e275d4-8208-4ddb-a1c8-1542d0a092b5?utm_source=BAS-Registered&amp;amp;utm_campaign=emailtenderlist&amp;amp;utm_content=05e275d4-8208-4ddb-a1c8-1542d0a092b5&amp;amp;utm_medium=email&amp;amp;utm-term=2026-03-05-09-31-38" TargetMode="External"/><Relationship Id="rId97" Type="http://schemas.openxmlformats.org/officeDocument/2006/relationships/hyperlink" Target="https://bidassist.com/tender/detail/89181082-462d-4eff-a270-74fe6a4187fb?utm_source=BAS-Registered&amp;amp;utm_campaign=emailtenderlist&amp;amp;utm_content=89181082-462d-4eff-a270-74fe6a4187fb&amp;amp;utm_medium=email&amp;amp;utm-term=2026-03-05-09-31-38" TargetMode="External"/><Relationship Id="rId120" Type="http://schemas.openxmlformats.org/officeDocument/2006/relationships/hyperlink" Target="https://bidassist.com/tender/detail/50e0c835-b322-4c81-9522-02bf62bc45bb?utm_source=BAS-Registered&amp;amp;utm_campaign=emailtenderlist&amp;amp;utm_content=50e0c835-b322-4c81-9522-02bf62bc45bb&amp;amp;utm_medium=email&amp;amp;utm-term=2026-03-05-09-31-38" TargetMode="External"/><Relationship Id="rId141" Type="http://schemas.openxmlformats.org/officeDocument/2006/relationships/hyperlink" Target="https://bidassist.com/tender/detail/98939d06-ea7c-4fa9-81cd-27914b24716c?utm_source=BAS-Registered&amp;amp;utm_campaign=emailtenderlist&amp;amp;utm_content=98939d06-ea7c-4fa9-81cd-27914b24716c&amp;amp;utm_medium=email&amp;amp;utm-term=2026-03-05-09-31-38" TargetMode="External"/><Relationship Id="rId7" Type="http://schemas.openxmlformats.org/officeDocument/2006/relationships/hyperlink" Target="https://bidassist.com/tender/detail/0e490f91-0165-4384-8902-538550a6e0bc?utm_source=BAS-Registered&amp;amp;utm_campaign=emailtenderlist&amp;amp;utm_content=0e490f91-0165-4384-8902-538550a6e0bc&amp;amp;utm_medium=email&amp;amp;utm-term=2026-03-05-09-31-38" TargetMode="External"/><Relationship Id="rId162" Type="http://schemas.openxmlformats.org/officeDocument/2006/relationships/hyperlink" Target="https://bidassist.com/tender/detail/d5dd9cd0-af42-4a51-99c0-bd1ce40cb404?utm_source=BAS-Registered&amp;amp;utm_campaign=emailtenderlist&amp;amp;utm_content=d5dd9cd0-af42-4a51-99c0-bd1ce40cb404&amp;amp;utm_medium=email&amp;amp;utm-term=2026-03-05-09-31-38" TargetMode="External"/><Relationship Id="rId183" Type="http://schemas.openxmlformats.org/officeDocument/2006/relationships/hyperlink" Target="https://bidassist.com/tender/detail/a66f163e-d115-4582-9e37-ae4f69341e5d?utm_source=BAS-Registered&amp;amp;utm_campaign=emailtenderlist&amp;amp;utm_content=a66f163e-d115-4582-9e37-ae4f69341e5d&amp;amp;utm_medium=email&amp;amp;utm-term=2026-03-05-09-31-38" TargetMode="External"/><Relationship Id="rId218" Type="http://schemas.openxmlformats.org/officeDocument/2006/relationships/hyperlink" Target="https://bidassist.com/tender/detail/4b259ffc-8bb9-48fb-a1d0-7f806cc3ea04?utm_source=BAS-Registered&amp;amp;utm_campaign=emailtenderlist&amp;amp;utm_content=4b259ffc-8bb9-48fb-a1d0-7f806cc3ea04&amp;amp;utm_medium=email&amp;amp;utm-term=2026-03-05-09-31-38" TargetMode="External"/><Relationship Id="rId239" Type="http://schemas.openxmlformats.org/officeDocument/2006/relationships/hyperlink" Target="https://bidassist.com/tender/detail/9b1f3b40-0ffb-4b0e-9b35-f78b913cc9d8?utm_source=BAS-Registered&amp;amp;utm_campaign=emailtenderlist&amp;amp;utm_content=9b1f3b40-0ffb-4b0e-9b35-f78b913cc9d8&amp;amp;utm_medium=email&amp;amp;utm-term=2026-03-05-09-31-38" TargetMode="External"/><Relationship Id="rId250" Type="http://schemas.openxmlformats.org/officeDocument/2006/relationships/hyperlink" Target="https://bidassist.com/tender/detail/822cba00-6ad5-4574-894b-c91b6da9c4eb?utm_source=BAS-Registered&amp;amp;utm_campaign=emailtenderlist&amp;amp;utm_content=822cba00-6ad5-4574-894b-c91b6da9c4eb&amp;amp;utm_medium=email&amp;amp;utm-term=2026-03-05-09-31-38" TargetMode="External"/><Relationship Id="rId24" Type="http://schemas.openxmlformats.org/officeDocument/2006/relationships/hyperlink" Target="https://bidassist.com/tender/detail/6f5cf516-b724-4e4d-836c-d38742ca3388?utm_source=BAS-Registered&amp;amp;utm_campaign=emailtenderlist&amp;amp;utm_content=6f5cf516-b724-4e4d-836c-d38742ca3388&amp;amp;utm_medium=email&amp;amp;utm-term=2026-03-05-09-31-38" TargetMode="External"/><Relationship Id="rId45" Type="http://schemas.openxmlformats.org/officeDocument/2006/relationships/hyperlink" Target="https://bidassist.com/tender/detail/1146d680-f161-4da4-b31f-680ae90be480?utm_source=BAS-Registered&amp;amp;utm_campaign=emailtenderlist&amp;amp;utm_content=1146d680-f161-4da4-b31f-680ae90be480&amp;amp;utm_medium=email&amp;amp;utm-term=2026-03-05-09-31-38" TargetMode="External"/><Relationship Id="rId66" Type="http://schemas.openxmlformats.org/officeDocument/2006/relationships/hyperlink" Target="https://bidassist.com/tender/detail/ef4b4bdf-dd6c-47ef-9557-13dc2da91c9f?utm_source=BAS-Registered&amp;amp;utm_campaign=emailtenderlist&amp;amp;utm_content=ef4b4bdf-dd6c-47ef-9557-13dc2da91c9f&amp;amp;utm_medium=email&amp;amp;utm-term=2026-03-05-09-31-38" TargetMode="External"/><Relationship Id="rId87" Type="http://schemas.openxmlformats.org/officeDocument/2006/relationships/hyperlink" Target="https://bidassist.com/tender/detail/510ffb93-2e76-47fc-bce1-cc44bcc48752?utm_source=BAS-Registered&amp;amp;utm_campaign=emailtenderlist&amp;amp;utm_content=510ffb93-2e76-47fc-bce1-cc44bcc48752&amp;amp;utm_medium=email&amp;amp;utm-term=2026-03-05-09-31-38" TargetMode="External"/><Relationship Id="rId110" Type="http://schemas.openxmlformats.org/officeDocument/2006/relationships/hyperlink" Target="https://bidassist.com/tender/detail/0a54878b-afb1-4658-b0e0-c0d0c1ce6691?utm_source=BAS-Registered&amp;amp;utm_campaign=emailtenderlist&amp;amp;utm_content=0a54878b-afb1-4658-b0e0-c0d0c1ce6691&amp;amp;utm_medium=email&amp;amp;utm-term=2026-03-05-09-31-38" TargetMode="External"/><Relationship Id="rId131" Type="http://schemas.openxmlformats.org/officeDocument/2006/relationships/hyperlink" Target="https://bidassist.com/tender/detail/c1d6720c-a75b-4bde-90a9-96d19577598c?utm_source=BAS-Registered&amp;amp;utm_campaign=emailtenderlist&amp;amp;utm_content=c1d6720c-a75b-4bde-90a9-96d19577598c&amp;amp;utm_medium=email&amp;amp;utm-term=2026-03-05-09-31-38" TargetMode="External"/><Relationship Id="rId152" Type="http://schemas.openxmlformats.org/officeDocument/2006/relationships/hyperlink" Target="https://bidassist.com/tender/detail/75227f9f-a93d-4dcd-8784-4b8a45fa546d?utm_source=BAS-Registered&amp;amp;utm_campaign=emailtenderlist&amp;amp;utm_content=75227f9f-a93d-4dcd-8784-4b8a45fa546d&amp;amp;utm_medium=email&amp;amp;utm-term=2026-03-05-09-31-38" TargetMode="External"/><Relationship Id="rId173" Type="http://schemas.openxmlformats.org/officeDocument/2006/relationships/hyperlink" Target="https://bidassist.com/tender/detail/534913e9-157e-44b7-a72c-c339da2710d1?utm_source=BAS-Registered&amp;amp;utm_campaign=emailtenderlist&amp;amp;utm_content=534913e9-157e-44b7-a72c-c339da2710d1&amp;amp;utm_medium=email&amp;amp;utm-term=2026-03-05-09-31-38" TargetMode="External"/><Relationship Id="rId194" Type="http://schemas.openxmlformats.org/officeDocument/2006/relationships/hyperlink" Target="https://bidassist.com/tender/detail/b56d5130-ab2a-4b2d-adf2-1fa8dc0239aa?utm_source=BAS-Registered&amp;amp;utm_campaign=emailtenderlist&amp;amp;utm_content=b56d5130-ab2a-4b2d-adf2-1fa8dc0239aa&amp;amp;utm_medium=email&amp;amp;utm-term=2026-03-05-09-31-38" TargetMode="External"/><Relationship Id="rId208" Type="http://schemas.openxmlformats.org/officeDocument/2006/relationships/hyperlink" Target="https://bidassist.com/tender/detail/9f3ad24f-f3d0-4b45-a50f-775eb277bf7c?utm_source=BAS-Registered&amp;amp;utm_campaign=emailtenderlist&amp;amp;utm_content=9f3ad24f-f3d0-4b45-a50f-775eb277bf7c&amp;amp;utm_medium=email&amp;amp;utm-term=2026-03-05-09-31-38" TargetMode="External"/><Relationship Id="rId229" Type="http://schemas.openxmlformats.org/officeDocument/2006/relationships/hyperlink" Target="https://bidassist.com/tender/detail/7067ae9d-31ee-4747-8ffe-32319203dc0d?utm_source=BAS-Registered&amp;amp;utm_campaign=emailtenderlist&amp;amp;utm_content=7067ae9d-31ee-4747-8ffe-32319203dc0d&amp;amp;utm_medium=email&amp;amp;utm-term=2026-03-05-09-31-38" TargetMode="External"/><Relationship Id="rId240" Type="http://schemas.openxmlformats.org/officeDocument/2006/relationships/hyperlink" Target="https://bidassist.com/tender/detail/a58ca4b7-751b-4555-8dca-49872ce4387b?utm_source=BAS-Registered&amp;amp;utm_campaign=emailtenderlist&amp;amp;utm_content=a58ca4b7-751b-4555-8dca-49872ce4387b&amp;amp;utm_medium=email&amp;amp;utm-term=2026-03-05-09-31-38" TargetMode="External"/><Relationship Id="rId14" Type="http://schemas.openxmlformats.org/officeDocument/2006/relationships/hyperlink" Target="https://bidassist.com/tender/detail/e0b103fa-6352-4607-87ae-c2f473731a46?utm_source=BAS-Registered&amp;amp;utm_campaign=emailtenderlist&amp;amp;utm_content=e0b103fa-6352-4607-87ae-c2f473731a46&amp;amp;utm_medium=email&amp;amp;utm-term=2026-03-05-09-31-38" TargetMode="External"/><Relationship Id="rId35" Type="http://schemas.openxmlformats.org/officeDocument/2006/relationships/hyperlink" Target="https://bidassist.com/tender/detail/2d090887-06ad-494a-851c-02cd71a5bd85?utm_source=BAS-Registered&amp;amp;utm_campaign=emailtenderlist&amp;amp;utm_content=2d090887-06ad-494a-851c-02cd71a5bd85&amp;amp;utm_medium=email&amp;amp;utm-term=2026-03-05-09-31-38" TargetMode="External"/><Relationship Id="rId56" Type="http://schemas.openxmlformats.org/officeDocument/2006/relationships/hyperlink" Target="https://bidassist.com/tender/detail/9040b957-653b-4df3-8b29-910a2f5fdf94?utm_source=BAS-Registered&amp;amp;utm_campaign=emailtenderlist&amp;amp;utm_content=9040b957-653b-4df3-8b29-910a2f5fdf94&amp;amp;utm_medium=email&amp;amp;utm-term=2026-03-05-09-31-38" TargetMode="External"/><Relationship Id="rId77" Type="http://schemas.openxmlformats.org/officeDocument/2006/relationships/hyperlink" Target="https://bidassist.com/tender/detail/0bcb0bd9-b28b-48a5-b2ce-71e5eb4b4926?utm_source=BAS-Registered&amp;amp;utm_campaign=emailtenderlist&amp;amp;utm_content=0bcb0bd9-b28b-48a5-b2ce-71e5eb4b4926&amp;amp;utm_medium=email&amp;amp;utm-term=2026-03-05-09-31-38" TargetMode="External"/><Relationship Id="rId100" Type="http://schemas.openxmlformats.org/officeDocument/2006/relationships/hyperlink" Target="https://bidassist.com/tender/detail/2d84508c-d1fa-4e3e-b2b3-61461fefe902?utm_source=BAS-Registered&amp;amp;utm_campaign=emailtenderlist&amp;amp;utm_content=2d84508c-d1fa-4e3e-b2b3-61461fefe902&amp;amp;utm_medium=email&amp;amp;utm-term=2026-03-05-09-31-38" TargetMode="External"/><Relationship Id="rId8" Type="http://schemas.openxmlformats.org/officeDocument/2006/relationships/hyperlink" Target="https://bidassist.com/tender/detail/0e563e5f-07ef-4da0-a681-7e5f2fb6be9c?utm_source=BAS-Registered&amp;amp;utm_campaign=emailtenderlist&amp;amp;utm_content=0e563e5f-07ef-4da0-a681-7e5f2fb6be9c&amp;amp;utm_medium=email&amp;amp;utm-term=2026-03-05-09-31-38" TargetMode="External"/><Relationship Id="rId98" Type="http://schemas.openxmlformats.org/officeDocument/2006/relationships/hyperlink" Target="https://bidassist.com/tender/detail/5198cab1-bbde-4253-88d4-f305b3c76e2f?utm_source=BAS-Registered&amp;amp;utm_campaign=emailtenderlist&amp;amp;utm_content=5198cab1-bbde-4253-88d4-f305b3c76e2f&amp;amp;utm_medium=email&amp;amp;utm-term=2026-03-05-09-31-38" TargetMode="External"/><Relationship Id="rId121" Type="http://schemas.openxmlformats.org/officeDocument/2006/relationships/hyperlink" Target="https://bidassist.com/tender/detail/5cb11bc1-d6d7-4fae-bf58-83857153bcdf?utm_source=BAS-Registered&amp;amp;utm_campaign=emailtenderlist&amp;amp;utm_content=5cb11bc1-d6d7-4fae-bf58-83857153bcdf&amp;amp;utm_medium=email&amp;amp;utm-term=2026-03-05-09-31-38" TargetMode="External"/><Relationship Id="rId142" Type="http://schemas.openxmlformats.org/officeDocument/2006/relationships/hyperlink" Target="https://bidassist.com/tender/detail/047e95a5-ade6-462d-907b-b8a311a642c5?utm_source=BAS-Registered&amp;amp;utm_campaign=emailtenderlist&amp;amp;utm_content=047e95a5-ade6-462d-907b-b8a311a642c5&amp;amp;utm_medium=email&amp;amp;utm-term=2026-03-05-09-31-38" TargetMode="External"/><Relationship Id="rId163" Type="http://schemas.openxmlformats.org/officeDocument/2006/relationships/hyperlink" Target="https://bidassist.com/tender/detail/e8e088f8-6ce6-4b05-b530-ad8976b6bffe?utm_source=BAS-Registered&amp;amp;utm_campaign=emailtenderlist&amp;amp;utm_content=e8e088f8-6ce6-4b05-b530-ad8976b6bffe&amp;amp;utm_medium=email&amp;amp;utm-term=2026-03-05-09-31-38" TargetMode="External"/><Relationship Id="rId184" Type="http://schemas.openxmlformats.org/officeDocument/2006/relationships/hyperlink" Target="https://bidassist.com/tender/detail/031d44f1-4291-4648-800a-dea23a2d0b39?utm_source=BAS-Registered&amp;amp;utm_campaign=emailtenderlist&amp;amp;utm_content=031d44f1-4291-4648-800a-dea23a2d0b39&amp;amp;utm_medium=email&amp;amp;utm-term=2026-03-05-09-31-38" TargetMode="External"/><Relationship Id="rId219" Type="http://schemas.openxmlformats.org/officeDocument/2006/relationships/hyperlink" Target="https://bidassist.com/tender/detail/6d7b2228-bc76-464b-b3fe-a2acccd713f8?utm_source=BAS-Registered&amp;amp;utm_campaign=emailtenderlist&amp;amp;utm_content=6d7b2228-bc76-464b-b3fe-a2acccd713f8&amp;amp;utm_medium=email&amp;amp;utm-term=2026-03-05-09-31-38" TargetMode="External"/><Relationship Id="rId230" Type="http://schemas.openxmlformats.org/officeDocument/2006/relationships/hyperlink" Target="https://bidassist.com/tender/detail/75c27742-def1-4637-989e-eaf5e74dea03?utm_source=BAS-Registered&amp;amp;utm_campaign=emailtenderlist&amp;amp;utm_content=75c27742-def1-4637-989e-eaf5e74dea03&amp;amp;utm_medium=email&amp;amp;utm-term=2026-03-05-09-31-38" TargetMode="External"/><Relationship Id="rId251" Type="http://schemas.openxmlformats.org/officeDocument/2006/relationships/hyperlink" Target="https://bidassist.com/tender/detail/82ca9449-b1c3-4741-814e-3bdcdd15679b?utm_source=BAS-Registered&amp;amp;utm_campaign=emailtenderlist&amp;amp;utm_content=82ca9449-b1c3-4741-814e-3bdcdd15679b&amp;amp;utm_medium=email&amp;amp;utm-term=2026-03-05-09-31-38" TargetMode="External"/><Relationship Id="rId25" Type="http://schemas.openxmlformats.org/officeDocument/2006/relationships/hyperlink" Target="https://bidassist.com/tender/detail/99861088-9985-4dd4-b498-16eb6f87c758?utm_source=BAS-Registered&amp;amp;utm_campaign=emailtenderlist&amp;amp;utm_content=99861088-9985-4dd4-b498-16eb6f87c758&amp;amp;utm_medium=email&amp;amp;utm-term=2026-03-05-09-31-38" TargetMode="External"/><Relationship Id="rId46" Type="http://schemas.openxmlformats.org/officeDocument/2006/relationships/hyperlink" Target="https://bidassist.com/tender/detail/15ea1a4e-df6a-4fa3-b871-9d8f9df58aa2?utm_source=BAS-Registered&amp;amp;utm_campaign=emailtenderlist&amp;amp;utm_content=15ea1a4e-df6a-4fa3-b871-9d8f9df58aa2&amp;amp;utm_medium=email&amp;amp;utm-term=2026-03-05-09-31-38" TargetMode="External"/><Relationship Id="rId67" Type="http://schemas.openxmlformats.org/officeDocument/2006/relationships/hyperlink" Target="https://bidassist.com/tender/detail/f211cc27-2639-4b29-9577-cf1e45aff112?utm_source=BAS-Registered&amp;amp;utm_campaign=emailtenderlist&amp;amp;utm_content=f211cc27-2639-4b29-9577-cf1e45aff112&amp;amp;utm_medium=email&amp;amp;utm-term=2026-03-05-09-31-38" TargetMode="External"/><Relationship Id="rId88" Type="http://schemas.openxmlformats.org/officeDocument/2006/relationships/hyperlink" Target="https://bidassist.com/tender/detail/5203dc6f-d026-471c-a3f6-3b52431023f0?utm_source=BAS-Registered&amp;amp;utm_campaign=emailtenderlist&amp;amp;utm_content=5203dc6f-d026-471c-a3f6-3b52431023f0&amp;amp;utm_medium=email&amp;amp;utm-term=2026-03-05-09-31-38" TargetMode="External"/><Relationship Id="rId111" Type="http://schemas.openxmlformats.org/officeDocument/2006/relationships/hyperlink" Target="https://bidassist.com/tender/detail/0eff8f48-afec-4773-a2a7-bc204bed32a1?utm_source=BAS-Registered&amp;amp;utm_campaign=emailtenderlist&amp;amp;utm_content=0eff8f48-afec-4773-a2a7-bc204bed32a1&amp;amp;utm_medium=email&amp;amp;utm-term=2026-03-05-09-31-38" TargetMode="External"/><Relationship Id="rId132" Type="http://schemas.openxmlformats.org/officeDocument/2006/relationships/hyperlink" Target="https://bidassist.com/tender/detail/e886069c-de13-4518-8fe6-cbb4460829b9?utm_source=BAS-Registered&amp;amp;utm_campaign=emailtenderlist&amp;amp;utm_content=e886069c-de13-4518-8fe6-cbb4460829b9&amp;amp;utm_medium=email&amp;amp;utm-term=2026-03-05-09-31-38" TargetMode="External"/><Relationship Id="rId153" Type="http://schemas.openxmlformats.org/officeDocument/2006/relationships/hyperlink" Target="https://bidassist.com/tender/detail/7bc7e974-ac6b-41c1-b5d9-3b0d0d1ce17e?utm_source=BAS-Registered&amp;amp;utm_campaign=emailtenderlist&amp;amp;utm_content=7bc7e974-ac6b-41c1-b5d9-3b0d0d1ce17e&amp;amp;utm_medium=email&amp;amp;utm-term=2026-03-05-09-31-38" TargetMode="External"/><Relationship Id="rId174" Type="http://schemas.openxmlformats.org/officeDocument/2006/relationships/hyperlink" Target="https://bidassist.com/tender/detail/61e76d70-bea2-4cc7-88d2-43a9c9f4cebb?utm_source=BAS-Registered&amp;amp;utm_campaign=emailtenderlist&amp;amp;utm_content=61e76d70-bea2-4cc7-88d2-43a9c9f4cebb&amp;amp;utm_medium=email&amp;amp;utm-term=2026-03-05-09-31-38" TargetMode="External"/><Relationship Id="rId195" Type="http://schemas.openxmlformats.org/officeDocument/2006/relationships/hyperlink" Target="https://bidassist.com/tender/detail/bcc3fe00-7774-4b0b-b191-0d7116c3314b?utm_source=BAS-Registered&amp;amp;utm_campaign=emailtenderlist&amp;amp;utm_content=bcc3fe00-7774-4b0b-b191-0d7116c3314b&amp;amp;utm_medium=email&amp;amp;utm-term=2026-03-05-09-31-38" TargetMode="External"/><Relationship Id="rId209" Type="http://schemas.openxmlformats.org/officeDocument/2006/relationships/hyperlink" Target="https://bidassist.com/tender/detail/ca13b9ee-ad13-4359-bada-7f1d315e4b03?utm_source=BAS-Registered&amp;amp;utm_campaign=emailtenderlist&amp;amp;utm_content=ca13b9ee-ad13-4359-bada-7f1d315e4b03&amp;amp;utm_medium=email&amp;amp;utm-term=2026-03-05-09-31-38" TargetMode="External"/><Relationship Id="rId220" Type="http://schemas.openxmlformats.org/officeDocument/2006/relationships/hyperlink" Target="https://bidassist.com/tender/detail/75f454b1-c8c0-41c9-9132-3bb738191b2c?utm_source=BAS-Registered&amp;amp;utm_campaign=emailtenderlist&amp;amp;utm_content=75f454b1-c8c0-41c9-9132-3bb738191b2c&amp;amp;utm_medium=email&amp;amp;utm-term=2026-03-05-09-31-38" TargetMode="External"/><Relationship Id="rId241" Type="http://schemas.openxmlformats.org/officeDocument/2006/relationships/hyperlink" Target="https://bidassist.com/tender/detail/6c1a3803-876f-43c1-9f8a-09d423e5e128?utm_source=BAS-Registered&amp;amp;utm_campaign=emailtenderlist&amp;amp;utm_content=6c1a3803-876f-43c1-9f8a-09d423e5e128&amp;amp;utm_medium=email&amp;amp;utm-term=2026-03-05-09-31-38" TargetMode="External"/><Relationship Id="rId15" Type="http://schemas.openxmlformats.org/officeDocument/2006/relationships/hyperlink" Target="https://bidassist.com/tender/detail/ebf3be57-ef67-4fa1-8bda-db8fdd025ae9?utm_source=BAS-Registered&amp;amp;utm_campaign=emailtenderlist&amp;amp;utm_content=ebf3be57-ef67-4fa1-8bda-db8fdd025ae9&amp;amp;utm_medium=email&amp;amp;utm-term=2026-03-05-09-31-38" TargetMode="External"/><Relationship Id="rId36" Type="http://schemas.openxmlformats.org/officeDocument/2006/relationships/hyperlink" Target="https://bidassist.com/tender/detail/3c86d9d3-8582-4eaf-b207-4e6f403bbcd7?utm_source=BAS-Registered&amp;amp;utm_campaign=emailtenderlist&amp;amp;utm_content=3c86d9d3-8582-4eaf-b207-4e6f403bbcd7&amp;amp;utm_medium=email&amp;amp;utm-term=2026-03-05-09-31-38" TargetMode="External"/><Relationship Id="rId57" Type="http://schemas.openxmlformats.org/officeDocument/2006/relationships/hyperlink" Target="https://bidassist.com/tender/detail/947b8e8e-b933-4e09-a1d7-1439da5a7f77?utm_source=BAS-Registered&amp;amp;utm_campaign=emailtenderlist&amp;amp;utm_content=947b8e8e-b933-4e09-a1d7-1439da5a7f77&amp;amp;utm_medium=email&amp;amp;utm-term=2026-03-05-09-31-38" TargetMode="External"/><Relationship Id="rId78" Type="http://schemas.openxmlformats.org/officeDocument/2006/relationships/hyperlink" Target="https://bidassist.com/tender/detail/1d7d358e-601c-4fb3-a39f-68c83c3ebf2b?utm_source=BAS-Registered&amp;amp;utm_campaign=emailtenderlist&amp;amp;utm_content=1d7d358e-601c-4fb3-a39f-68c83c3ebf2b&amp;amp;utm_medium=email&amp;amp;utm-term=2026-03-05-09-31-38" TargetMode="External"/><Relationship Id="rId99" Type="http://schemas.openxmlformats.org/officeDocument/2006/relationships/hyperlink" Target="https://bidassist.com/tender/detail/18df890d-d5fc-4990-9767-3c7a2d07a19f?utm_source=BAS-Registered&amp;amp;utm_campaign=emailtenderlist&amp;amp;utm_content=18df890d-d5fc-4990-9767-3c7a2d07a19f&amp;amp;utm_medium=email&amp;amp;utm-term=2026-03-05-09-31-38" TargetMode="External"/><Relationship Id="rId101" Type="http://schemas.openxmlformats.org/officeDocument/2006/relationships/hyperlink" Target="https://bidassist.com/tender/detail/3024cefe-ee92-42d6-9acc-fa686a7dae47?utm_source=BAS-Registered&amp;amp;utm_campaign=emailtenderlist&amp;amp;utm_content=3024cefe-ee92-42d6-9acc-fa686a7dae47&amp;amp;utm_medium=email&amp;amp;utm-term=2026-03-05-09-31-38" TargetMode="External"/><Relationship Id="rId122" Type="http://schemas.openxmlformats.org/officeDocument/2006/relationships/hyperlink" Target="https://bidassist.com/tender/detail/5e75ba9e-615f-46db-95d7-b7b1be00ff5f?utm_source=BAS-Registered&amp;amp;utm_campaign=emailtenderlist&amp;amp;utm_content=5e75ba9e-615f-46db-95d7-b7b1be00ff5f&amp;amp;utm_medium=email&amp;amp;utm-term=2026-03-05-09-31-38" TargetMode="External"/><Relationship Id="rId143" Type="http://schemas.openxmlformats.org/officeDocument/2006/relationships/hyperlink" Target="https://bidassist.com/tender/detail/074ceda8-3658-4183-a8a7-62723eca78e4?utm_source=BAS-Registered&amp;amp;utm_campaign=emailtenderlist&amp;amp;utm_content=074ceda8-3658-4183-a8a7-62723eca78e4&amp;amp;utm_medium=email&amp;amp;utm-term=2026-03-05-09-31-38" TargetMode="External"/><Relationship Id="rId164" Type="http://schemas.openxmlformats.org/officeDocument/2006/relationships/hyperlink" Target="https://bidassist.com/tender/detail/5c27414a-b0c6-4511-aab3-b00f348b3868?utm_source=BAS-Registered&amp;amp;utm_campaign=emailtenderlist&amp;amp;utm_content=5c27414a-b0c6-4511-aab3-b00f348b3868&amp;amp;utm_medium=email&amp;amp;utm-term=2026-03-05-09-31-38" TargetMode="External"/><Relationship Id="rId185" Type="http://schemas.openxmlformats.org/officeDocument/2006/relationships/hyperlink" Target="https://bidassist.com/tender/detail/0f0ca6dd-ae96-4e30-9942-1b22529d9a03?utm_source=BAS-Registered&amp;amp;utm_campaign=emailtenderlist&amp;amp;utm_content=0f0ca6dd-ae96-4e30-9942-1b22529d9a03&amp;amp;utm_medium=email&amp;amp;utm-term=2026-03-05-09-31-38" TargetMode="External"/><Relationship Id="rId9" Type="http://schemas.openxmlformats.org/officeDocument/2006/relationships/hyperlink" Target="https://bidassist.com/tender/detail/0e9629a8-95f9-4421-976e-c57d8115ccd3?utm_source=BAS-Registered&amp;amp;utm_campaign=emailtenderlist&amp;amp;utm_content=0e9629a8-95f9-4421-976e-c57d8115ccd3&amp;amp;utm_medium=email&amp;amp;utm-term=2026-03-05-09-31-38" TargetMode="External"/><Relationship Id="rId210" Type="http://schemas.openxmlformats.org/officeDocument/2006/relationships/hyperlink" Target="https://bidassist.com/tender/detail/b229e1aa-9f34-4713-a0bb-eae7273104f9?utm_source=BAS-Registered&amp;amp;utm_campaign=emailtenderlist&amp;amp;utm_content=b229e1aa-9f34-4713-a0bb-eae7273104f9&amp;amp;utm_medium=email&amp;amp;utm-term=2026-03-05-09-31-38" TargetMode="External"/><Relationship Id="rId26" Type="http://schemas.openxmlformats.org/officeDocument/2006/relationships/hyperlink" Target="https://bidassist.com/tender/detail/ef9a7511-91df-4f8a-bd35-6c2c58b8f7e1?utm_source=BAS-Registered&amp;amp;utm_campaign=emailtenderlist&amp;amp;utm_content=ef9a7511-91df-4f8a-bd35-6c2c58b8f7e1&amp;amp;utm_medium=email&amp;amp;utm-term=2026-03-05-09-31-38" TargetMode="External"/><Relationship Id="rId231" Type="http://schemas.openxmlformats.org/officeDocument/2006/relationships/hyperlink" Target="https://bidassist.com/tender/detail/79a38066-cd01-4356-9e4f-cd7eeddf4e92?utm_source=BAS-Registered&amp;amp;utm_campaign=emailtenderlist&amp;amp;utm_content=79a38066-cd01-4356-9e4f-cd7eeddf4e92&amp;amp;utm_medium=email&amp;amp;utm-term=2026-03-05-09-31-38" TargetMode="External"/><Relationship Id="rId252" Type="http://schemas.openxmlformats.org/officeDocument/2006/relationships/hyperlink" Target="https://bidassist.com/tender/detail/f879e870-cac0-42a7-9023-c835cf41d69a?utm_source=BAS-Registered&amp;amp;utm_campaign=emailtenderlist&amp;amp;utm_content=f879e870-cac0-42a7-9023-c835cf41d69a&amp;amp;utm_medium=email&amp;amp;utm-term=2026-03-05-09-31-38" TargetMode="External"/><Relationship Id="rId47" Type="http://schemas.openxmlformats.org/officeDocument/2006/relationships/hyperlink" Target="https://bidassist.com/tender/detail/2bc43426-675c-4e1a-a689-e872a5b7f677?utm_source=BAS-Registered&amp;amp;utm_campaign=emailtenderlist&amp;amp;utm_content=2bc43426-675c-4e1a-a689-e872a5b7f677&amp;amp;utm_medium=email&amp;amp;utm-term=2026-03-05-09-31-38" TargetMode="External"/><Relationship Id="rId68" Type="http://schemas.openxmlformats.org/officeDocument/2006/relationships/hyperlink" Target="https://bidassist.com/tender/detail/f348e694-6029-441e-b56c-63eabe88083c?utm_source=BAS-Registered&amp;amp;utm_campaign=emailtenderlist&amp;amp;utm_content=f348e694-6029-441e-b56c-63eabe88083c&amp;amp;utm_medium=email&amp;amp;utm-term=2026-03-05-09-31-38" TargetMode="External"/><Relationship Id="rId89" Type="http://schemas.openxmlformats.org/officeDocument/2006/relationships/hyperlink" Target="https://bidassist.com/tender/detail/5a5dd73d-e7c3-488a-86b0-5dbbebeb4d0c?utm_source=BAS-Registered&amp;amp;utm_campaign=emailtenderlist&amp;amp;utm_content=5a5dd73d-e7c3-488a-86b0-5dbbebeb4d0c&amp;amp;utm_medium=email&amp;amp;utm-term=2026-03-05-09-31-38" TargetMode="External"/><Relationship Id="rId112" Type="http://schemas.openxmlformats.org/officeDocument/2006/relationships/hyperlink" Target="https://bidassist.com/tender/detail/1e29f1eb-94c4-4851-aa01-2852be94ef6b?utm_source=BAS-Registered&amp;amp;utm_campaign=emailtenderlist&amp;amp;utm_content=1e29f1eb-94c4-4851-aa01-2852be94ef6b&amp;amp;utm_medium=email&amp;amp;utm-term=2026-03-05-09-31-38" TargetMode="External"/><Relationship Id="rId133" Type="http://schemas.openxmlformats.org/officeDocument/2006/relationships/hyperlink" Target="https://bidassist.com/tender/detail/ea09311c-06ef-4bff-af5a-4d31a9c68f1e?utm_source=BAS-Registered&amp;amp;utm_campaign=emailtenderlist&amp;amp;utm_content=ea09311c-06ef-4bff-af5a-4d31a9c68f1e&amp;amp;utm_medium=email&amp;amp;utm-term=2026-03-05-09-31-38" TargetMode="External"/><Relationship Id="rId154" Type="http://schemas.openxmlformats.org/officeDocument/2006/relationships/hyperlink" Target="https://bidassist.com/tender/detail/778aa859-1c05-4d48-a7e9-74de6625c004?utm_source=BAS-Registered&amp;amp;utm_campaign=emailtenderlist&amp;amp;utm_content=778aa859-1c05-4d48-a7e9-74de6625c004&amp;amp;utm_medium=email&amp;amp;utm-term=2026-03-05-09-31-38" TargetMode="External"/><Relationship Id="rId175" Type="http://schemas.openxmlformats.org/officeDocument/2006/relationships/hyperlink" Target="https://bidassist.com/tender/detail/aca43724-5e00-4fd9-933d-46d45d1c298e?utm_source=BAS-Registered&amp;amp;utm_campaign=emailtenderlist&amp;amp;utm_content=aca43724-5e00-4fd9-933d-46d45d1c298e&amp;amp;utm_medium=email&amp;amp;utm-term=2026-03-05-09-31-38" TargetMode="External"/><Relationship Id="rId196" Type="http://schemas.openxmlformats.org/officeDocument/2006/relationships/hyperlink" Target="https://bidassist.com/tender/detail/bf4eb20e-8df6-4a5b-bb1c-96bac6842ec7?utm_source=BAS-Registered&amp;amp;utm_campaign=emailtenderlist&amp;amp;utm_content=bf4eb20e-8df6-4a5b-bb1c-96bac6842ec7&amp;amp;utm_medium=email&amp;amp;utm-term=2026-03-05-09-31-38" TargetMode="External"/><Relationship Id="rId200" Type="http://schemas.openxmlformats.org/officeDocument/2006/relationships/hyperlink" Target="https://bidassist.com/tender/detail/cf53f2b9-bf71-4b43-8c6c-0253125913c4?utm_source=BAS-Registered&amp;amp;utm_campaign=emailtenderlist&amp;amp;utm_content=cf53f2b9-bf71-4b43-8c6c-0253125913c4&amp;amp;utm_medium=email&amp;amp;utm-term=2026-03-05-09-31-38" TargetMode="External"/><Relationship Id="rId16" Type="http://schemas.openxmlformats.org/officeDocument/2006/relationships/hyperlink" Target="https://bidassist.com/tender/detail/ecd5fb37-c95f-47d6-9643-e68fe7a704b9?utm_source=BAS-Registered&amp;amp;utm_campaign=emailtenderlist&amp;amp;utm_content=ecd5fb37-c95f-47d6-9643-e68fe7a704b9&amp;amp;utm_medium=email&amp;amp;utm-term=2026-03-05-09-31-38" TargetMode="External"/><Relationship Id="rId221" Type="http://schemas.openxmlformats.org/officeDocument/2006/relationships/hyperlink" Target="https://bidassist.com/tender/detail/86f8d069-3035-4820-b2c7-924fe799c731?utm_source=BAS-Registered&amp;amp;utm_campaign=emailtenderlist&amp;amp;utm_content=86f8d069-3035-4820-b2c7-924fe799c731&amp;amp;utm_medium=email&amp;amp;utm-term=2026-03-05-09-31-38" TargetMode="External"/><Relationship Id="rId242" Type="http://schemas.openxmlformats.org/officeDocument/2006/relationships/hyperlink" Target="https://bidassist.com/tender/detail/6c4ca7a6-e586-4f88-8973-a771dec8f9d5?utm_source=BAS-Registered&amp;amp;utm_campaign=emailtenderlist&amp;amp;utm_content=6c4ca7a6-e586-4f88-8973-a771dec8f9d5&amp;amp;utm_medium=email&amp;amp;utm-term=2026-03-05-09-31-38" TargetMode="External"/><Relationship Id="rId37" Type="http://schemas.openxmlformats.org/officeDocument/2006/relationships/hyperlink" Target="https://bidassist.com/tender/detail/512fa753-d40d-4ed0-a7d0-7a33a95c543c?utm_source=BAS-Registered&amp;amp;utm_campaign=emailtenderlist&amp;amp;utm_content=512fa753-d40d-4ed0-a7d0-7a33a95c543c&amp;amp;utm_medium=email&amp;amp;utm-term=2026-03-05-09-31-38" TargetMode="External"/><Relationship Id="rId58" Type="http://schemas.openxmlformats.org/officeDocument/2006/relationships/hyperlink" Target="https://bidassist.com/tender/detail/98e6e1da-b77c-4ddf-9a20-4f2624b0ec48?utm_source=BAS-Registered&amp;amp;utm_campaign=emailtenderlist&amp;amp;utm_content=98e6e1da-b77c-4ddf-9a20-4f2624b0ec48&amp;amp;utm_medium=email&amp;amp;utm-term=2026-03-05-09-31-38" TargetMode="External"/><Relationship Id="rId79" Type="http://schemas.openxmlformats.org/officeDocument/2006/relationships/hyperlink" Target="https://bidassist.com/tender/detail/21f4e80f-af30-44e7-a487-2a898d8515ab?utm_source=BAS-Registered&amp;amp;utm_campaign=emailtenderlist&amp;amp;utm_content=21f4e80f-af30-44e7-a487-2a898d8515ab&amp;amp;utm_medium=email&amp;amp;utm-term=2026-03-05-09-31-38" TargetMode="External"/><Relationship Id="rId102" Type="http://schemas.openxmlformats.org/officeDocument/2006/relationships/hyperlink" Target="https://bidassist.com/tender/detail/36d65847-a8dc-4645-8a62-b32ea3193dd2?utm_source=BAS-Registered&amp;amp;utm_campaign=emailtenderlist&amp;amp;utm_content=36d65847-a8dc-4645-8a62-b32ea3193dd2&amp;amp;utm_medium=email&amp;amp;utm-term=2026-03-05-09-31-38" TargetMode="External"/><Relationship Id="rId123" Type="http://schemas.openxmlformats.org/officeDocument/2006/relationships/hyperlink" Target="https://bidassist.com/tender/detail/7de3661b-9e49-4a26-a24b-2068c0093a5d?utm_source=BAS-Registered&amp;amp;utm_campaign=emailtenderlist&amp;amp;utm_content=7de3661b-9e49-4a26-a24b-2068c0093a5d&amp;amp;utm_medium=email&amp;amp;utm-term=2026-03-05-09-31-38" TargetMode="External"/><Relationship Id="rId144" Type="http://schemas.openxmlformats.org/officeDocument/2006/relationships/hyperlink" Target="https://bidassist.com/tender/detail/132f07c1-22c5-4211-9e36-3c2ecc41ee43?utm_source=BAS-Registered&amp;amp;utm_campaign=emailtenderlist&amp;amp;utm_content=132f07c1-22c5-4211-9e36-3c2ecc41ee43&amp;amp;utm_medium=email&amp;amp;utm-term=2026-03-05-09-31-38" TargetMode="External"/><Relationship Id="rId90" Type="http://schemas.openxmlformats.org/officeDocument/2006/relationships/hyperlink" Target="https://bidassist.com/tender/detail/73a5e084-937e-4380-99d0-2abea1320ba9?utm_source=BAS-Registered&amp;amp;utm_campaign=emailtenderlist&amp;amp;utm_content=73a5e084-937e-4380-99d0-2abea1320ba9&amp;amp;utm_medium=email&amp;amp;utm-term=2026-03-05-09-31-38" TargetMode="External"/><Relationship Id="rId165" Type="http://schemas.openxmlformats.org/officeDocument/2006/relationships/hyperlink" Target="https://bidassist.com/tender/detail/6e8d8b7e-7c19-4728-a801-78bfef99ea2c?utm_source=BAS-Registered&amp;amp;utm_campaign=emailtenderlist&amp;amp;utm_content=6e8d8b7e-7c19-4728-a801-78bfef99ea2c&amp;amp;utm_medium=email&amp;amp;utm-term=2026-03-05-09-31-38" TargetMode="External"/><Relationship Id="rId186" Type="http://schemas.openxmlformats.org/officeDocument/2006/relationships/hyperlink" Target="https://bidassist.com/tender/detail/122cc42e-d9d8-4c91-b1b1-cda2e2d7849d?utm_source=BAS-Registered&amp;amp;utm_campaign=emailtenderlist&amp;amp;utm_content=122cc42e-d9d8-4c91-b1b1-cda2e2d7849d&amp;amp;utm_medium=email&amp;amp;utm-term=2026-03-05-09-31-38" TargetMode="External"/><Relationship Id="rId211" Type="http://schemas.openxmlformats.org/officeDocument/2006/relationships/hyperlink" Target="https://bidassist.com/tender/detail/64b696d2-b1df-4cda-9119-1d21e284ba6b?utm_source=BAS-Registered&amp;amp;utm_campaign=emailtenderlist&amp;amp;utm_content=64b696d2-b1df-4cda-9119-1d21e284ba6b&amp;amp;utm_medium=email&amp;amp;utm-term=2026-03-05-09-31-38" TargetMode="External"/><Relationship Id="rId232" Type="http://schemas.openxmlformats.org/officeDocument/2006/relationships/hyperlink" Target="https://bidassist.com/tender/detail/7a22072b-f724-4ace-9531-5b8671c3b229?utm_source=BAS-Registered&amp;amp;utm_campaign=emailtenderlist&amp;amp;utm_content=7a22072b-f724-4ace-9531-5b8671c3b229&amp;amp;utm_medium=email&amp;amp;utm-term=2026-03-05-09-31-38" TargetMode="External"/><Relationship Id="rId253" Type="http://schemas.openxmlformats.org/officeDocument/2006/relationships/hyperlink" Target="https://bidassist.com/tender/detail/feda2782-0af6-4233-b86b-3ec917ef0806?utm_source=BAS-Registered&amp;amp;utm_campaign=emailtenderlist&amp;amp;utm_content=feda2782-0af6-4233-b86b-3ec917ef0806&amp;amp;utm_medium=email&amp;amp;utm-term=2026-03-05-09-31-38" TargetMode="External"/><Relationship Id="rId27" Type="http://schemas.openxmlformats.org/officeDocument/2006/relationships/hyperlink" Target="https://bidassist.com/tender/detail/0d53f6bc-c03a-414c-8842-10581d6b08b1?utm_source=BAS-Registered&amp;amp;utm_campaign=emailtenderlist&amp;amp;utm_content=0d53f6bc-c03a-414c-8842-10581d6b08b1&amp;amp;utm_medium=email&amp;amp;utm-term=2026-03-05-09-31-38" TargetMode="External"/><Relationship Id="rId48" Type="http://schemas.openxmlformats.org/officeDocument/2006/relationships/hyperlink" Target="https://bidassist.com/tender/detail/306b1194-9568-4f2f-86e1-fee502affb84?utm_source=BAS-Registered&amp;amp;utm_campaign=emailtenderlist&amp;amp;utm_content=306b1194-9568-4f2f-86e1-fee502affb84&amp;amp;utm_medium=email&amp;amp;utm-term=2026-03-05-09-31-38" TargetMode="External"/><Relationship Id="rId69" Type="http://schemas.openxmlformats.org/officeDocument/2006/relationships/hyperlink" Target="https://bidassist.com/tender/detail/fef9c192-fd54-4027-b32d-97b7fefe4e80?utm_source=BAS-Registered&amp;amp;utm_campaign=emailtenderlist&amp;amp;utm_content=fef9c192-fd54-4027-b32d-97b7fefe4e80&amp;amp;utm_medium=email&amp;amp;utm-term=2026-03-05-09-31-38" TargetMode="External"/><Relationship Id="rId113" Type="http://schemas.openxmlformats.org/officeDocument/2006/relationships/hyperlink" Target="https://bidassist.com/tender/detail/1fe53604-2208-4679-af4e-eb26b9dd29a6?utm_source=BAS-Registered&amp;amp;utm_campaign=emailtenderlist&amp;amp;utm_content=1fe53604-2208-4679-af4e-eb26b9dd29a6&amp;amp;utm_medium=email&amp;amp;utm-term=2026-03-05-09-31-38" TargetMode="External"/><Relationship Id="rId134" Type="http://schemas.openxmlformats.org/officeDocument/2006/relationships/hyperlink" Target="https://bidassist.com/tender/detail/f057b984-5fe7-477b-976c-19033c899201?utm_source=BAS-Registered&amp;amp;utm_campaign=emailtenderlist&amp;amp;utm_content=f057b984-5fe7-477b-976c-19033c899201&amp;amp;utm_medium=email&amp;amp;utm-term=2026-03-05-09-31-38" TargetMode="External"/><Relationship Id="rId80" Type="http://schemas.openxmlformats.org/officeDocument/2006/relationships/hyperlink" Target="https://bidassist.com/tender/detail/247dc291-7cc1-4b80-a391-a1a713affe25?utm_source=BAS-Registered&amp;amp;utm_campaign=emailtenderlist&amp;amp;utm_content=247dc291-7cc1-4b80-a391-a1a713affe25&amp;amp;utm_medium=email&amp;amp;utm-term=2026-03-05-09-31-38" TargetMode="External"/><Relationship Id="rId155" Type="http://schemas.openxmlformats.org/officeDocument/2006/relationships/hyperlink" Target="https://bidassist.com/tender/detail/8242f10a-3411-4e05-871f-b36b3741a432?utm_source=BAS-Registered&amp;amp;utm_campaign=emailtenderlist&amp;amp;utm_content=8242f10a-3411-4e05-871f-b36b3741a432&amp;amp;utm_medium=email&amp;amp;utm-term=2026-03-05-09-31-38" TargetMode="External"/><Relationship Id="rId176" Type="http://schemas.openxmlformats.org/officeDocument/2006/relationships/hyperlink" Target="https://bidassist.com/tender/detail/f6884c2a-08f1-4ac6-abae-f707dc5a072e?utm_source=BAS-Registered&amp;amp;utm_campaign=emailtenderlist&amp;amp;utm_content=f6884c2a-08f1-4ac6-abae-f707dc5a072e&amp;amp;utm_medium=email&amp;amp;utm-term=2026-03-05-09-31-38" TargetMode="External"/><Relationship Id="rId197" Type="http://schemas.openxmlformats.org/officeDocument/2006/relationships/hyperlink" Target="https://bidassist.com/tender/detail/c56476d0-68d6-4d1c-b10e-2b2d8abb759d?utm_source=BAS-Registered&amp;amp;utm_campaign=emailtenderlist&amp;amp;utm_content=c56476d0-68d6-4d1c-b10e-2b2d8abb759d&amp;amp;utm_medium=email&amp;amp;utm-term=2026-03-05-09-31-38" TargetMode="External"/><Relationship Id="rId201" Type="http://schemas.openxmlformats.org/officeDocument/2006/relationships/hyperlink" Target="https://bidassist.com/tender/detail/d2eec4e3-1c95-4fc7-816f-22905c8f59a9?utm_source=BAS-Registered&amp;amp;utm_campaign=emailtenderlist&amp;amp;utm_content=d2eec4e3-1c95-4fc7-816f-22905c8f59a9&amp;amp;utm_medium=email&amp;amp;utm-term=2026-03-05-09-31-38" TargetMode="External"/><Relationship Id="rId222" Type="http://schemas.openxmlformats.org/officeDocument/2006/relationships/hyperlink" Target="https://bidassist.com/tender/detail/3b42281e-066b-465a-a63a-0fb1dddb2f72?utm_source=BAS-Registered&amp;amp;utm_campaign=emailtenderlist&amp;amp;utm_content=3b42281e-066b-465a-a63a-0fb1dddb2f72&amp;amp;utm_medium=email&amp;amp;utm-term=2026-03-05-09-31-38" TargetMode="External"/><Relationship Id="rId243" Type="http://schemas.openxmlformats.org/officeDocument/2006/relationships/hyperlink" Target="https://bidassist.com/tender/detail/7758f159-7c3c-41e1-8df0-e7be1828ce25?utm_source=BAS-Registered&amp;amp;utm_campaign=emailtenderlist&amp;amp;utm_content=7758f159-7c3c-41e1-8df0-e7be1828ce25&amp;amp;utm_medium=email&amp;amp;utm-term=2026-03-05-09-31-38" TargetMode="External"/><Relationship Id="rId17" Type="http://schemas.openxmlformats.org/officeDocument/2006/relationships/hyperlink" Target="https://bidassist.com/tender/detail/0a126f04-91a1-4fb3-b43c-f6097e48fd44?utm_source=BAS-Registered&amp;amp;utm_campaign=emailtenderlist&amp;amp;utm_content=0a126f04-91a1-4fb3-b43c-f6097e48fd44&amp;amp;utm_medium=email&amp;amp;utm-term=2026-03-05-09-31-38" TargetMode="External"/><Relationship Id="rId38" Type="http://schemas.openxmlformats.org/officeDocument/2006/relationships/hyperlink" Target="https://bidassist.com/tender/detail/781c5ef3-4166-40ca-9670-258e129828fd?utm_source=BAS-Registered&amp;amp;utm_campaign=emailtenderlist&amp;amp;utm_content=781c5ef3-4166-40ca-9670-258e129828fd&amp;amp;utm_medium=email&amp;amp;utm-term=2026-03-05-09-31-38" TargetMode="External"/><Relationship Id="rId59" Type="http://schemas.openxmlformats.org/officeDocument/2006/relationships/hyperlink" Target="https://bidassist.com/tender/detail/be240a4d-8d69-4e49-bd0d-ade247065943?utm_source=BAS-Registered&amp;amp;utm_campaign=emailtenderlist&amp;amp;utm_content=be240a4d-8d69-4e49-bd0d-ade247065943&amp;amp;utm_medium=email&amp;amp;utm-term=2026-03-05-09-31-38" TargetMode="External"/><Relationship Id="rId103" Type="http://schemas.openxmlformats.org/officeDocument/2006/relationships/hyperlink" Target="https://bidassist.com/tender/detail/3ea8c57e-a31f-45df-9242-597a7982891d?utm_source=BAS-Registered&amp;amp;utm_campaign=emailtenderlist&amp;amp;utm_content=3ea8c57e-a31f-45df-9242-597a7982891d&amp;amp;utm_medium=email&amp;amp;utm-term=2026-03-05-09-31-38" TargetMode="External"/><Relationship Id="rId124" Type="http://schemas.openxmlformats.org/officeDocument/2006/relationships/hyperlink" Target="https://bidassist.com/tender/detail/7f98ebe9-a78d-430a-92f1-4a589b207fdf?utm_source=BAS-Registered&amp;amp;utm_campaign=emailtenderlist&amp;amp;utm_content=7f98ebe9-a78d-430a-92f1-4a589b207fdf&amp;amp;utm_medium=email&amp;amp;utm-term=2026-03-05-09-31-38" TargetMode="External"/><Relationship Id="rId70" Type="http://schemas.openxmlformats.org/officeDocument/2006/relationships/hyperlink" Target="https://bidassist.com/tender/detail/caaf3f11-7ad4-475c-879f-cf7907d4f46d?utm_source=BAS-Registered&amp;amp;utm_campaign=emailtenderlist&amp;amp;utm_content=caaf3f11-7ad4-475c-879f-cf7907d4f46d&amp;amp;utm_medium=email&amp;amp;utm-term=2026-03-05-09-31-38" TargetMode="External"/><Relationship Id="rId91" Type="http://schemas.openxmlformats.org/officeDocument/2006/relationships/hyperlink" Target="https://bidassist.com/tender/detail/7c3eef7b-4e73-4add-bf0f-82293285b26c?utm_source=BAS-Registered&amp;amp;utm_campaign=emailtenderlist&amp;amp;utm_content=7c3eef7b-4e73-4add-bf0f-82293285b26c&amp;amp;utm_medium=email&amp;amp;utm-term=2026-03-05-09-31-38" TargetMode="External"/><Relationship Id="rId145" Type="http://schemas.openxmlformats.org/officeDocument/2006/relationships/hyperlink" Target="https://bidassist.com/tender/detail/17a87a61-63d9-4700-802b-5ad819ca7e21?utm_source=BAS-Registered&amp;amp;utm_campaign=emailtenderlist&amp;amp;utm_content=17a87a61-63d9-4700-802b-5ad819ca7e21&amp;amp;utm_medium=email&amp;amp;utm-term=2026-03-05-09-31-38" TargetMode="External"/><Relationship Id="rId166" Type="http://schemas.openxmlformats.org/officeDocument/2006/relationships/hyperlink" Target="https://bidassist.com/tender/detail/3c49e615-f5f9-473b-8fd5-c02b6eec4f8b?utm_source=BAS-Registered&amp;amp;utm_campaign=emailtenderlist&amp;amp;utm_content=3c49e615-f5f9-473b-8fd5-c02b6eec4f8b&amp;amp;utm_medium=email&amp;amp;utm-term=2026-03-05-09-31-38" TargetMode="External"/><Relationship Id="rId187" Type="http://schemas.openxmlformats.org/officeDocument/2006/relationships/hyperlink" Target="https://bidassist.com/tender/detail/1338bd83-80fb-472a-8795-8a1b2711f283?utm_source=BAS-Registered&amp;amp;utm_campaign=emailtenderlist&amp;amp;utm_content=1338bd83-80fb-472a-8795-8a1b2711f283&amp;amp;utm_medium=email&amp;amp;utm-term=2026-03-05-09-31-38" TargetMode="External"/><Relationship Id="rId1" Type="http://schemas.openxmlformats.org/officeDocument/2006/relationships/hyperlink" Target="https://bidassist.com/tender/detail/2591039c-f9c4-412c-a07d-38c18ce0df75?utm_source=BAS-Registered&amp;amp;utm_campaign=emailtenderlist&amp;amp;utm_content=2591039c-f9c4-412c-a07d-38c18ce0df75&amp;amp;utm_medium=email&amp;amp;utm-term=2026-03-05-09-31-38" TargetMode="External"/><Relationship Id="rId212" Type="http://schemas.openxmlformats.org/officeDocument/2006/relationships/hyperlink" Target="https://bidassist.com/tender/detail/65e57649-88b8-4ff5-b7dc-b257a5cb8b19?utm_source=BAS-Registered&amp;amp;utm_campaign=emailtenderlist&amp;amp;utm_content=65e57649-88b8-4ff5-b7dc-b257a5cb8b19&amp;amp;utm_medium=email&amp;amp;utm-term=2026-03-05-09-31-38" TargetMode="External"/><Relationship Id="rId233" Type="http://schemas.openxmlformats.org/officeDocument/2006/relationships/hyperlink" Target="https://bidassist.com/tender/detail/8a348091-6983-44ee-998f-321eb99c919b?utm_source=BAS-Registered&amp;amp;utm_campaign=emailtenderlist&amp;amp;utm_content=8a348091-6983-44ee-998f-321eb99c919b&amp;amp;utm_medium=email&amp;amp;utm-term=2026-03-05-09-31-38" TargetMode="External"/><Relationship Id="rId254" Type="http://schemas.openxmlformats.org/officeDocument/2006/relationships/hyperlink" Target="https://bidassist.com/tender/detail/83a736b2-bfe3-4469-8715-ebe2fba5edad?utm_source=BAS-Registered&amp;amp;utm_campaign=emailtenderlist&amp;amp;utm_content=83a736b2-bfe3-4469-8715-ebe2fba5edad&amp;amp;utm_medium=email&amp;amp;utm-term=2026-03-05-09-31-38" TargetMode="External"/><Relationship Id="rId28" Type="http://schemas.openxmlformats.org/officeDocument/2006/relationships/hyperlink" Target="https://bidassist.com/tender/detail/151952a9-9e44-4b7b-b1c2-4943fea621f4?utm_source=BAS-Registered&amp;amp;utm_campaign=emailtenderlist&amp;amp;utm_content=151952a9-9e44-4b7b-b1c2-4943fea621f4&amp;amp;utm_medium=email&amp;amp;utm-term=2026-03-05-09-31-38" TargetMode="External"/><Relationship Id="rId49" Type="http://schemas.openxmlformats.org/officeDocument/2006/relationships/hyperlink" Target="https://bidassist.com/tender/detail/365ea6a0-4ffb-4c04-9ca5-73a9e9c18e75?utm_source=BAS-Registered&amp;amp;utm_campaign=emailtenderlist&amp;amp;utm_content=365ea6a0-4ffb-4c04-9ca5-73a9e9c18e75&amp;amp;utm_medium=email&amp;amp;utm-term=2026-03-05-09-31-38" TargetMode="External"/><Relationship Id="rId114" Type="http://schemas.openxmlformats.org/officeDocument/2006/relationships/hyperlink" Target="https://bidassist.com/tender/detail/227f9b30-0d29-4da6-aaf9-1f46aaebd88f?utm_source=BAS-Registered&amp;amp;utm_campaign=emailtenderlist&amp;amp;utm_content=227f9b30-0d29-4da6-aaf9-1f46aaebd88f&amp;amp;utm_medium=email&amp;amp;utm-term=2026-03-05-09-31-38" TargetMode="External"/><Relationship Id="rId60" Type="http://schemas.openxmlformats.org/officeDocument/2006/relationships/hyperlink" Target="https://bidassist.com/tender/detail/fac1d366-3d5a-48fb-81a6-9c37bed01412?utm_source=BAS-Registered&amp;amp;utm_campaign=emailtenderlist&amp;amp;utm_content=fac1d366-3d5a-48fb-81a6-9c37bed01412&amp;amp;utm_medium=email&amp;amp;utm-term=2026-03-05-09-31-38" TargetMode="External"/><Relationship Id="rId81" Type="http://schemas.openxmlformats.org/officeDocument/2006/relationships/hyperlink" Target="https://bidassist.com/tender/detail/3861616f-6a21-4f03-ad7b-24af3c6b382a?utm_source=BAS-Registered&amp;amp;utm_campaign=emailtenderlist&amp;amp;utm_content=3861616f-6a21-4f03-ad7b-24af3c6b382a&amp;amp;utm_medium=email&amp;amp;utm-term=2026-03-05-09-31-38" TargetMode="External"/><Relationship Id="rId135" Type="http://schemas.openxmlformats.org/officeDocument/2006/relationships/hyperlink" Target="https://bidassist.com/tender/detail/9383b01f-064f-4578-8838-45ce704ba19a?utm_source=BAS-Registered&amp;amp;utm_campaign=emailtenderlist&amp;amp;utm_content=9383b01f-064f-4578-8838-45ce704ba19a&amp;amp;utm_medium=email&amp;amp;utm-term=2026-03-05-09-31-38" TargetMode="External"/><Relationship Id="rId156" Type="http://schemas.openxmlformats.org/officeDocument/2006/relationships/hyperlink" Target="https://bidassist.com/tender/detail/c701234a-82ba-44fd-ad84-9ddb127555d3?utm_source=BAS-Registered&amp;amp;utm_campaign=emailtenderlist&amp;amp;utm_content=c701234a-82ba-44fd-ad84-9ddb127555d3&amp;amp;utm_medium=email&amp;amp;utm-term=2026-03-05-09-31-38" TargetMode="External"/><Relationship Id="rId177" Type="http://schemas.openxmlformats.org/officeDocument/2006/relationships/hyperlink" Target="https://bidassist.com/tender/detail/f9e17e90-486f-4ef4-8734-c24d888b7a80?utm_source=BAS-Registered&amp;amp;utm_campaign=emailtenderlist&amp;amp;utm_content=f9e17e90-486f-4ef4-8734-c24d888b7a80&amp;amp;utm_medium=email&amp;amp;utm-term=2026-03-05-09-31-38" TargetMode="External"/><Relationship Id="rId198" Type="http://schemas.openxmlformats.org/officeDocument/2006/relationships/hyperlink" Target="https://bidassist.com/tender/detail/c5909c73-4c65-4671-a64d-1b96049b541d?utm_source=BAS-Registered&amp;amp;utm_campaign=emailtenderlist&amp;amp;utm_content=c5909c73-4c65-4671-a64d-1b96049b541d&amp;amp;utm_medium=email&amp;amp;utm-term=2026-03-05-09-31-38" TargetMode="External"/><Relationship Id="rId202" Type="http://schemas.openxmlformats.org/officeDocument/2006/relationships/hyperlink" Target="https://bidassist.com/tender/detail/d7f4b0e0-2b13-4f5b-a0f9-d83244cbfef5?utm_source=BAS-Registered&amp;amp;utm_campaign=emailtenderlist&amp;amp;utm_content=d7f4b0e0-2b13-4f5b-a0f9-d83244cbfef5&amp;amp;utm_medium=email&amp;amp;utm-term=2026-03-05-09-31-38" TargetMode="External"/><Relationship Id="rId223" Type="http://schemas.openxmlformats.org/officeDocument/2006/relationships/hyperlink" Target="https://bidassist.com/tender/detail/54518372-4033-4b47-a35f-f26ea52d5015?utm_source=BAS-Registered&amp;amp;utm_campaign=emailtenderlist&amp;amp;utm_content=54518372-4033-4b47-a35f-f26ea52d5015&amp;amp;utm_medium=email&amp;amp;utm-term=2026-03-05-09-31-38" TargetMode="External"/><Relationship Id="rId244" Type="http://schemas.openxmlformats.org/officeDocument/2006/relationships/hyperlink" Target="https://bidassist.com/tender/detail/9afd765d-fb09-4664-b63f-fbf436fdf539?utm_source=BAS-Registered&amp;amp;utm_campaign=emailtenderlist&amp;amp;utm_content=9afd765d-fb09-4664-b63f-fbf436fdf539&amp;amp;utm_medium=email&amp;amp;utm-term=2026-03-05-09-31-38" TargetMode="External"/><Relationship Id="rId18" Type="http://schemas.openxmlformats.org/officeDocument/2006/relationships/hyperlink" Target="https://bidassist.com/tender/detail/47c1c3c9-fc93-45d7-915d-9770a66e2903?utm_source=BAS-Registered&amp;amp;utm_campaign=emailtenderlist&amp;amp;utm_content=47c1c3c9-fc93-45d7-915d-9770a66e2903&amp;amp;utm_medium=email&amp;amp;utm-term=2026-03-05-09-31-38" TargetMode="External"/><Relationship Id="rId39" Type="http://schemas.openxmlformats.org/officeDocument/2006/relationships/hyperlink" Target="https://bidassist.com/tender/detail/d13f1c8f-3995-4da5-880d-3d9408cab575?utm_source=BAS-Registered&amp;amp;utm_campaign=emailtenderlist&amp;amp;utm_content=d13f1c8f-3995-4da5-880d-3d9408cab575&amp;amp;utm_medium=email&amp;amp;utm-term=2026-03-05-09-31-38" TargetMode="External"/><Relationship Id="rId50" Type="http://schemas.openxmlformats.org/officeDocument/2006/relationships/hyperlink" Target="https://bidassist.com/tender/detail/4a6043e0-86af-48a0-9463-6c82f3b96ae4?utm_source=BAS-Registered&amp;amp;utm_campaign=emailtenderlist&amp;amp;utm_content=4a6043e0-86af-48a0-9463-6c82f3b96ae4&amp;amp;utm_medium=email&amp;amp;utm-term=2026-03-05-09-31-38" TargetMode="External"/><Relationship Id="rId104" Type="http://schemas.openxmlformats.org/officeDocument/2006/relationships/hyperlink" Target="https://bidassist.com/tender/detail/414feb9e-6fe9-43aa-8184-4b2b2de1fcc9?utm_source=BAS-Registered&amp;amp;utm_campaign=emailtenderlist&amp;amp;utm_content=414feb9e-6fe9-43aa-8184-4b2b2de1fcc9&amp;amp;utm_medium=email&amp;amp;utm-term=2026-03-05-09-31-38" TargetMode="External"/><Relationship Id="rId125" Type="http://schemas.openxmlformats.org/officeDocument/2006/relationships/hyperlink" Target="https://bidassist.com/tender/detail/822bc684-bbf5-49c8-b196-c364e0ad96d2?utm_source=BAS-Registered&amp;amp;utm_campaign=emailtenderlist&amp;amp;utm_content=822bc684-bbf5-49c8-b196-c364e0ad96d2&amp;amp;utm_medium=email&amp;amp;utm-term=2026-03-05-09-31-38" TargetMode="External"/><Relationship Id="rId146" Type="http://schemas.openxmlformats.org/officeDocument/2006/relationships/hyperlink" Target="https://bidassist.com/tender/detail/1ec90898-4ea0-43c2-84da-890aafec0e57?utm_source=BAS-Registered&amp;amp;utm_campaign=emailtenderlist&amp;amp;utm_content=1ec90898-4ea0-43c2-84da-890aafec0e57&amp;amp;utm_medium=email&amp;amp;utm-term=2026-03-05-09-31-38" TargetMode="External"/><Relationship Id="rId167" Type="http://schemas.openxmlformats.org/officeDocument/2006/relationships/hyperlink" Target="https://bidassist.com/tender/detail/8c6af5b2-ff17-4010-929c-9489b22b3730?utm_source=BAS-Registered&amp;amp;utm_campaign=emailtenderlist&amp;amp;utm_content=8c6af5b2-ff17-4010-929c-9489b22b3730&amp;amp;utm_medium=email&amp;amp;utm-term=2026-03-05-09-31-38" TargetMode="External"/><Relationship Id="rId188" Type="http://schemas.openxmlformats.org/officeDocument/2006/relationships/hyperlink" Target="https://bidassist.com/tender/detail/21b7ddef-c31e-460f-9814-e06555503231?utm_source=BAS-Registered&amp;amp;utm_campaign=emailtenderlist&amp;amp;utm_content=21b7ddef-c31e-460f-9814-e06555503231&amp;amp;utm_medium=email&amp;amp;utm-term=2026-03-05-09-31-38" TargetMode="External"/><Relationship Id="rId71" Type="http://schemas.openxmlformats.org/officeDocument/2006/relationships/hyperlink" Target="https://bidassist.com/tender/detail/cbf88ce5-8d08-4008-b81e-2f095d37761b?utm_source=BAS-Registered&amp;amp;utm_campaign=emailtenderlist&amp;amp;utm_content=cbf88ce5-8d08-4008-b81e-2f095d37761b&amp;amp;utm_medium=email&amp;amp;utm-term=2026-03-05-09-31-38" TargetMode="External"/><Relationship Id="rId92" Type="http://schemas.openxmlformats.org/officeDocument/2006/relationships/hyperlink" Target="https://bidassist.com/tender/detail/7d57950c-50b1-47e8-a382-1daa76cded8b?utm_source=BAS-Registered&amp;amp;utm_campaign=emailtenderlist&amp;amp;utm_content=7d57950c-50b1-47e8-a382-1daa76cded8b&amp;amp;utm_medium=email&amp;amp;utm-term=2026-03-05-09-31-38" TargetMode="External"/><Relationship Id="rId213" Type="http://schemas.openxmlformats.org/officeDocument/2006/relationships/hyperlink" Target="https://bidassist.com/tender/detail/c30ce246-1f13-4f8a-b0d6-c17cc0fc3103?utm_source=BAS-Registered&amp;amp;utm_campaign=emailtenderlist&amp;amp;utm_content=c30ce246-1f13-4f8a-b0d6-c17cc0fc3103&amp;amp;utm_medium=email&amp;amp;utm-term=2026-03-05-09-31-38" TargetMode="External"/><Relationship Id="rId234" Type="http://schemas.openxmlformats.org/officeDocument/2006/relationships/hyperlink" Target="https://bidassist.com/tender/detail/fd89ee98-0d8f-49e7-98a2-7d31022262ba?utm_source=BAS-Registered&amp;amp;utm_campaign=emailtenderlist&amp;amp;utm_content=fd89ee98-0d8f-49e7-98a2-7d31022262ba&amp;amp;utm_medium=email&amp;amp;utm-term=2026-03-05-09-31-38" TargetMode="External"/><Relationship Id="rId2" Type="http://schemas.openxmlformats.org/officeDocument/2006/relationships/hyperlink" Target="https://bidassist.com/tender/detail/751d8d9f-f067-4553-a535-82e5221d3f5c?utm_source=BAS-Registered&amp;amp;utm_campaign=emailtenderlist&amp;amp;utm_content=751d8d9f-f067-4553-a535-82e5221d3f5c&amp;amp;utm_medium=email&amp;amp;utm-term=2026-03-05-09-31-38" TargetMode="External"/><Relationship Id="rId29" Type="http://schemas.openxmlformats.org/officeDocument/2006/relationships/hyperlink" Target="https://bidassist.com/tender/detail/23f34705-b342-4cf2-9518-c9e80ae54906?utm_source=BAS-Registered&amp;amp;utm_campaign=emailtenderlist&amp;amp;utm_content=23f34705-b342-4cf2-9518-c9e80ae54906&amp;amp;utm_medium=email&amp;amp;utm-term=2026-03-05-09-31-38" TargetMode="External"/><Relationship Id="rId255" Type="http://schemas.openxmlformats.org/officeDocument/2006/relationships/hyperlink" Target="https://bidassist.com/tender/detail/947b8e8e-b933-4e09-a1d7-1439da5a7f77?utm_source=BAS-Registered&amp;amp;utm_campaign=emailtenderlist&amp;amp;utm_content=947b8e8e-b933-4e09-a1d7-1439da5a7f77&amp;amp;utm_medium=email&amp;amp;utm-term=2026-03-05-09-31-38" TargetMode="External"/><Relationship Id="rId40" Type="http://schemas.openxmlformats.org/officeDocument/2006/relationships/hyperlink" Target="https://bidassist.com/tender/detail/dbd6e8df-76e3-41e9-b854-10ee3f344e32?utm_source=BAS-Registered&amp;amp;utm_campaign=emailtenderlist&amp;amp;utm_content=dbd6e8df-76e3-41e9-b854-10ee3f344e32&amp;amp;utm_medium=email&amp;amp;utm-term=2026-03-05-09-31-38" TargetMode="External"/><Relationship Id="rId115" Type="http://schemas.openxmlformats.org/officeDocument/2006/relationships/hyperlink" Target="https://bidassist.com/tender/detail/3c37e1a1-979a-4acf-a112-b411e76d820d?utm_source=BAS-Registered&amp;amp;utm_campaign=emailtenderlist&amp;amp;utm_content=3c37e1a1-979a-4acf-a112-b411e76d820d&amp;amp;utm_medium=email&amp;amp;utm-term=2026-03-05-09-31-38" TargetMode="External"/><Relationship Id="rId136" Type="http://schemas.openxmlformats.org/officeDocument/2006/relationships/hyperlink" Target="https://bidassist.com/tender/detail/0fc6a16c-a610-4201-96dc-905f0d1f427b?utm_source=BAS-Registered&amp;amp;utm_campaign=emailtenderlist&amp;amp;utm_content=0fc6a16c-a610-4201-96dc-905f0d1f427b&amp;amp;utm_medium=email&amp;amp;utm-term=2026-03-05-09-31-38" TargetMode="External"/><Relationship Id="rId157" Type="http://schemas.openxmlformats.org/officeDocument/2006/relationships/hyperlink" Target="https://bidassist.com/tender/detail/d7af583e-b366-4f2c-95c1-2fb0a48d1417?utm_source=BAS-Registered&amp;amp;utm_campaign=emailtenderlist&amp;amp;utm_content=d7af583e-b366-4f2c-95c1-2fb0a48d1417&amp;amp;utm_medium=email&amp;amp;utm-term=2026-03-05-09-31-38" TargetMode="External"/><Relationship Id="rId178" Type="http://schemas.openxmlformats.org/officeDocument/2006/relationships/hyperlink" Target="https://bidassist.com/tender/detail/fc14c9f8-50fd-4613-9bd6-bfbec4b0111b?utm_source=BAS-Registered&amp;amp;utm_campaign=emailtenderlist&amp;amp;utm_content=fc14c9f8-50fd-4613-9bd6-bfbec4b0111b&amp;amp;utm_medium=email&amp;amp;utm-term=2026-03-05-09-31-38" TargetMode="External"/><Relationship Id="rId61" Type="http://schemas.openxmlformats.org/officeDocument/2006/relationships/hyperlink" Target="https://bidassist.com/tender/detail/8f13e7a3-1dba-4351-ae91-22fa911226d8?utm_source=BAS-Registered&amp;amp;utm_campaign=emailtenderlist&amp;amp;utm_content=8f13e7a3-1dba-4351-ae91-22fa911226d8&amp;amp;utm_medium=email&amp;amp;utm-term=2026-03-05-09-31-38" TargetMode="External"/><Relationship Id="rId82" Type="http://schemas.openxmlformats.org/officeDocument/2006/relationships/hyperlink" Target="https://bidassist.com/tender/detail/3c4ae9ae-512f-4e87-944b-e9e4cbe9724b?utm_source=BAS-Registered&amp;amp;utm_campaign=emailtenderlist&amp;amp;utm_content=3c4ae9ae-512f-4e87-944b-e9e4cbe9724b&amp;amp;utm_medium=email&amp;amp;utm-term=2026-03-05-09-31-38" TargetMode="External"/><Relationship Id="rId199" Type="http://schemas.openxmlformats.org/officeDocument/2006/relationships/hyperlink" Target="https://bidassist.com/tender/detail/cf3e66ff-dfe3-4b62-b4da-56f06c46c759?utm_source=BAS-Registered&amp;amp;utm_campaign=emailtenderlist&amp;amp;utm_content=cf3e66ff-dfe3-4b62-b4da-56f06c46c759&amp;amp;utm_medium=email&amp;amp;utm-term=2026-03-05-09-31-38" TargetMode="External"/><Relationship Id="rId203" Type="http://schemas.openxmlformats.org/officeDocument/2006/relationships/hyperlink" Target="https://bidassist.com/tender/detail/e362fe88-b601-43d3-8e28-111907922a54?utm_source=BAS-Registered&amp;amp;utm_campaign=emailtenderlist&amp;amp;utm_content=e362fe88-b601-43d3-8e28-111907922a54&amp;amp;utm_medium=email&amp;amp;utm-term=2026-03-05-09-31-38" TargetMode="External"/><Relationship Id="rId19" Type="http://schemas.openxmlformats.org/officeDocument/2006/relationships/hyperlink" Target="https://bidassist.com/tender/detail/4d34036e-41ed-456e-83fc-0b998c86ea63?utm_source=BAS-Registered&amp;amp;utm_campaign=emailtenderlist&amp;amp;utm_content=4d34036e-41ed-456e-83fc-0b998c86ea63&amp;amp;utm_medium=email&amp;amp;utm-term=2026-03-05-09-31-38" TargetMode="External"/><Relationship Id="rId224" Type="http://schemas.openxmlformats.org/officeDocument/2006/relationships/hyperlink" Target="https://bidassist.com/tender/detail/5a265919-8334-4743-9e96-fde7e514bb2d?utm_source=BAS-Registered&amp;amp;utm_campaign=emailtenderlist&amp;amp;utm_content=5a265919-8334-4743-9e96-fde7e514bb2d&amp;amp;utm_medium=email&amp;amp;utm-term=2026-03-05-09-31-38" TargetMode="External"/><Relationship Id="rId245" Type="http://schemas.openxmlformats.org/officeDocument/2006/relationships/hyperlink" Target="https://bidassist.com/tender/detail/0cd38b52-bca5-4622-bf69-b9fa6a44d3c3?utm_source=BAS-Registered&amp;amp;utm_campaign=emailtenderlist&amp;amp;utm_content=0cd38b52-bca5-4622-bf69-b9fa6a44d3c3&amp;amp;utm_medium=email&amp;amp;utm-term=2026-03-05-09-31-38" TargetMode="External"/><Relationship Id="rId30" Type="http://schemas.openxmlformats.org/officeDocument/2006/relationships/hyperlink" Target="https://bidassist.com/tender/detail/293d221d-cb58-4f74-8e5f-e48378911ce2?utm_source=BAS-Registered&amp;amp;utm_campaign=emailtenderlist&amp;amp;utm_content=293d221d-cb58-4f74-8e5f-e48378911ce2&amp;amp;utm_medium=email&amp;amp;utm-term=2026-03-05-09-31-38" TargetMode="External"/><Relationship Id="rId105" Type="http://schemas.openxmlformats.org/officeDocument/2006/relationships/hyperlink" Target="https://bidassist.com/tender/detail/622a9c18-07ec-4a44-bc43-4875707b454b?utm_source=BAS-Registered&amp;amp;utm_campaign=emailtenderlist&amp;amp;utm_content=622a9c18-07ec-4a44-bc43-4875707b454b&amp;amp;utm_medium=email&amp;amp;utm-term=2026-03-05-09-31-38" TargetMode="External"/><Relationship Id="rId126" Type="http://schemas.openxmlformats.org/officeDocument/2006/relationships/hyperlink" Target="https://bidassist.com/tender/detail/8eabe608-4e3b-483a-b018-06ba93d6d5c7?utm_source=BAS-Registered&amp;amp;utm_campaign=emailtenderlist&amp;amp;utm_content=8eabe608-4e3b-483a-b018-06ba93d6d5c7&amp;amp;utm_medium=email&amp;amp;utm-term=2026-03-05-09-31-38" TargetMode="External"/><Relationship Id="rId147" Type="http://schemas.openxmlformats.org/officeDocument/2006/relationships/hyperlink" Target="https://bidassist.com/tender/detail/3417ce5b-d247-4cdb-bf74-a26e0c65026a?utm_source=BAS-Registered&amp;amp;utm_campaign=emailtenderlist&amp;amp;utm_content=3417ce5b-d247-4cdb-bf74-a26e0c65026a&amp;amp;utm_medium=email&amp;amp;utm-term=2026-03-05-09-31-38" TargetMode="External"/><Relationship Id="rId168" Type="http://schemas.openxmlformats.org/officeDocument/2006/relationships/hyperlink" Target="https://bidassist.com/tender/detail/acc7c7c8-2021-473c-98f6-d157257b512d?utm_source=BAS-Registered&amp;amp;utm_campaign=emailtenderlist&amp;amp;utm_content=acc7c7c8-2021-473c-98f6-d157257b512d&amp;amp;utm_medium=email&amp;amp;utm-term=2026-03-05-09-31-38" TargetMode="External"/><Relationship Id="rId51" Type="http://schemas.openxmlformats.org/officeDocument/2006/relationships/hyperlink" Target="https://bidassist.com/tender/detail/50ce902c-fb75-44c4-abd1-dfa380c9244b?utm_source=BAS-Registered&amp;amp;utm_campaign=emailtenderlist&amp;amp;utm_content=50ce902c-fb75-44c4-abd1-dfa380c9244b&amp;amp;utm_medium=email&amp;amp;utm-term=2026-03-05-09-31-38" TargetMode="External"/><Relationship Id="rId72" Type="http://schemas.openxmlformats.org/officeDocument/2006/relationships/hyperlink" Target="https://bidassist.com/tender/detail/e066ef16-ff71-4802-9346-be7f9ddb9660?utm_source=BAS-Registered&amp;amp;utm_campaign=emailtenderlist&amp;amp;utm_content=e066ef16-ff71-4802-9346-be7f9ddb9660&amp;amp;utm_medium=email&amp;amp;utm-term=2026-03-05-09-31-38" TargetMode="External"/><Relationship Id="rId93" Type="http://schemas.openxmlformats.org/officeDocument/2006/relationships/hyperlink" Target="https://bidassist.com/tender/detail/842a94f9-a5d7-4a59-bbe2-60e6b861d5f4?utm_source=BAS-Registered&amp;amp;utm_campaign=emailtenderlist&amp;amp;utm_content=842a94f9-a5d7-4a59-bbe2-60e6b861d5f4&amp;amp;utm_medium=email&amp;amp;utm-term=2026-03-05-09-31-38" TargetMode="External"/><Relationship Id="rId189" Type="http://schemas.openxmlformats.org/officeDocument/2006/relationships/hyperlink" Target="https://bidassist.com/tender/detail/48fb3106-1198-4dee-919e-9e4b601ef5f3?utm_source=BAS-Registered&amp;amp;utm_campaign=emailtenderlist&amp;amp;utm_content=48fb3106-1198-4dee-919e-9e4b601ef5f3&amp;amp;utm_medium=email&amp;amp;utm-term=2026-03-05-09-31-38" TargetMode="External"/><Relationship Id="rId3" Type="http://schemas.openxmlformats.org/officeDocument/2006/relationships/hyperlink" Target="https://bidassist.com/tender/detail/82ea183c-578a-42c9-812d-001b2c278b09?utm_source=BAS-Registered&amp;amp;utm_campaign=emailtenderlist&amp;amp;utm_content=82ea183c-578a-42c9-812d-001b2c278b09&amp;amp;utm_medium=email&amp;amp;utm-term=2026-03-05-09-31-38" TargetMode="External"/><Relationship Id="rId214" Type="http://schemas.openxmlformats.org/officeDocument/2006/relationships/hyperlink" Target="https://bidassist.com/tender/detail/c9336661-e37f-41ea-948d-0953c435c4dd?utm_source=BAS-Registered&amp;amp;utm_campaign=emailtenderlist&amp;amp;utm_content=c9336661-e37f-41ea-948d-0953c435c4dd&amp;amp;utm_medium=email&amp;amp;utm-term=2026-03-05-09-31-38" TargetMode="External"/><Relationship Id="rId235" Type="http://schemas.openxmlformats.org/officeDocument/2006/relationships/hyperlink" Target="https://bidassist.com/tender/detail/b911cc37-deb5-4342-a238-005675485309?utm_source=BAS-Registered&amp;amp;utm_campaign=emailtenderlist&amp;amp;utm_content=b911cc37-deb5-4342-a238-005675485309&amp;amp;utm_medium=email&amp;amp;utm-term=2026-03-05-09-31-38" TargetMode="External"/><Relationship Id="rId256" Type="http://schemas.openxmlformats.org/officeDocument/2006/relationships/hyperlink" Target="https://bidassist.com/tender/detail/d7af583e-b366-4f2c-95c1-2fb0a48d1417?utm_source=BAS-Registered&amp;amp;utm_campaign=emailtenderlist&amp;amp;utm_content=d7af583e-b366-4f2c-95c1-2fb0a48d1417&amp;amp;utm_medium=email&amp;amp;utm-term=2026-03-05-09-31-38" TargetMode="External"/><Relationship Id="rId116" Type="http://schemas.openxmlformats.org/officeDocument/2006/relationships/hyperlink" Target="https://bidassist.com/tender/detail/409ff221-5fa9-4867-a140-2cf95b5d98bf?utm_source=BAS-Registered&amp;amp;utm_campaign=emailtenderlist&amp;amp;utm_content=409ff221-5fa9-4867-a140-2cf95b5d98bf&amp;amp;utm_medium=email&amp;amp;utm-term=2026-03-05-09-31-38" TargetMode="External"/><Relationship Id="rId137" Type="http://schemas.openxmlformats.org/officeDocument/2006/relationships/hyperlink" Target="https://bidassist.com/tender/detail/4dc16681-656a-44ed-96f2-98c5b73023fe?utm_source=BAS-Registered&amp;amp;utm_campaign=emailtenderlist&amp;amp;utm_content=4dc16681-656a-44ed-96f2-98c5b73023fe&amp;amp;utm_medium=email&amp;amp;utm-term=2026-03-05-09-31-38" TargetMode="External"/><Relationship Id="rId158" Type="http://schemas.openxmlformats.org/officeDocument/2006/relationships/hyperlink" Target="https://bidassist.com/tender/detail/dce70b28-f5e3-43db-93f4-344452b64bf0?utm_source=BAS-Registered&amp;amp;utm_campaign=emailtenderlist&amp;amp;utm_content=dce70b28-f5e3-43db-93f4-344452b64bf0&amp;amp;utm_medium=email&amp;amp;utm-term=2026-03-05-09-31-38" TargetMode="External"/><Relationship Id="rId20" Type="http://schemas.openxmlformats.org/officeDocument/2006/relationships/hyperlink" Target="https://bidassist.com/tender/detail/540623be-5136-459a-9c3f-1674f97bdb36?utm_source=BAS-Registered&amp;amp;utm_campaign=emailtenderlist&amp;amp;utm_content=540623be-5136-459a-9c3f-1674f97bdb36&amp;amp;utm_medium=email&amp;amp;utm-term=2026-03-05-09-31-38" TargetMode="External"/><Relationship Id="rId41" Type="http://schemas.openxmlformats.org/officeDocument/2006/relationships/hyperlink" Target="https://bidassist.com/tender/detail/50e7e879-5006-4a9c-b61b-706cf18ef8e6?utm_source=BAS-Registered&amp;amp;utm_campaign=emailtenderlist&amp;amp;utm_content=50e7e879-5006-4a9c-b61b-706cf18ef8e6&amp;amp;utm_medium=email&amp;amp;utm-term=2026-03-05-09-31-38" TargetMode="External"/><Relationship Id="rId62" Type="http://schemas.openxmlformats.org/officeDocument/2006/relationships/hyperlink" Target="https://bidassist.com/tender/detail/354cd772-a685-4e6a-a9e2-2f7456e54b84?utm_source=BAS-Registered&amp;amp;utm_campaign=emailtenderlist&amp;amp;utm_content=354cd772-a685-4e6a-a9e2-2f7456e54b84&amp;amp;utm_medium=email&amp;amp;utm-term=2026-03-05-09-31-38" TargetMode="External"/><Relationship Id="rId83" Type="http://schemas.openxmlformats.org/officeDocument/2006/relationships/hyperlink" Target="https://bidassist.com/tender/detail/457dffa5-a771-44d8-9f50-a76da0fcded6?utm_source=BAS-Registered&amp;amp;utm_campaign=emailtenderlist&amp;amp;utm_content=457dffa5-a771-44d8-9f50-a76da0fcded6&amp;amp;utm_medium=email&amp;amp;utm-term=2026-03-05-09-31-38" TargetMode="External"/><Relationship Id="rId179" Type="http://schemas.openxmlformats.org/officeDocument/2006/relationships/hyperlink" Target="https://bidassist.com/tender/detail/cbb9063d-a296-4e15-82e4-e9cddb2a5c48?utm_source=BAS-Registered&amp;amp;utm_campaign=emailtenderlist&amp;amp;utm_content=cbb9063d-a296-4e15-82e4-e9cddb2a5c48&amp;amp;utm_medium=email&amp;amp;utm-term=2026-03-05-09-31-38" TargetMode="External"/><Relationship Id="rId190" Type="http://schemas.openxmlformats.org/officeDocument/2006/relationships/hyperlink" Target="https://bidassist.com/tender/detail/6057ee61-a84f-4707-9b1c-8092fb56b360?utm_source=BAS-Registered&amp;amp;utm_campaign=emailtenderlist&amp;amp;utm_content=6057ee61-a84f-4707-9b1c-8092fb56b360&amp;amp;utm_medium=email&amp;amp;utm-term=2026-03-05-09-31-38" TargetMode="External"/><Relationship Id="rId204" Type="http://schemas.openxmlformats.org/officeDocument/2006/relationships/hyperlink" Target="https://bidassist.com/tender/detail/08e21cf4-77d0-4636-b311-7ab2568459a5?utm_source=BAS-Registered&amp;amp;utm_campaign=emailtenderlist&amp;amp;utm_content=08e21cf4-77d0-4636-b311-7ab2568459a5&amp;amp;utm_medium=email&amp;amp;utm-term=2026-03-05-09-31-38" TargetMode="External"/><Relationship Id="rId225" Type="http://schemas.openxmlformats.org/officeDocument/2006/relationships/hyperlink" Target="https://bidassist.com/tender/detail/5b1d0501-e814-498b-bdf2-d20c765068c6?utm_source=BAS-Registered&amp;amp;utm_campaign=emailtenderlist&amp;amp;utm_content=5b1d0501-e814-498b-bdf2-d20c765068c6&amp;amp;utm_medium=email&amp;amp;utm-term=2026-03-05-09-31-38" TargetMode="External"/><Relationship Id="rId246" Type="http://schemas.openxmlformats.org/officeDocument/2006/relationships/hyperlink" Target="https://bidassist.com/tender/detail/2171a61a-d017-4d5e-bdc2-9a1b61a17094?utm_source=BAS-Registered&amp;amp;utm_campaign=emailtenderlist&amp;amp;utm_content=2171a61a-d017-4d5e-bdc2-9a1b61a17094&amp;amp;utm_medium=email&amp;amp;utm-term=2026-03-05-09-31-38" TargetMode="External"/><Relationship Id="rId106" Type="http://schemas.openxmlformats.org/officeDocument/2006/relationships/hyperlink" Target="https://bidassist.com/tender/detail/640bd0ec-42eb-4eba-aa43-9ca42c3e786b?utm_source=BAS-Registered&amp;amp;utm_campaign=emailtenderlist&amp;amp;utm_content=640bd0ec-42eb-4eba-aa43-9ca42c3e786b&amp;amp;utm_medium=email&amp;amp;utm-term=2026-03-05-09-31-38" TargetMode="External"/><Relationship Id="rId127" Type="http://schemas.openxmlformats.org/officeDocument/2006/relationships/hyperlink" Target="https://bidassist.com/tender/detail/8f3c96c2-7d2d-4671-b10d-07d0ceb88e2b?utm_source=BAS-Registered&amp;amp;utm_campaign=emailtenderlist&amp;amp;utm_content=8f3c96c2-7d2d-4671-b10d-07d0ceb88e2b&amp;amp;utm_medium=email&amp;amp;utm-term=2026-03-05-09-31-38" TargetMode="External"/><Relationship Id="rId10" Type="http://schemas.openxmlformats.org/officeDocument/2006/relationships/hyperlink" Target="https://bidassist.com/tender/detail/1046e3d5-d93e-4010-a090-959fd0982c92?utm_source=BAS-Registered&amp;amp;utm_campaign=emailtenderlist&amp;amp;utm_content=1046e3d5-d93e-4010-a090-959fd0982c92&amp;amp;utm_medium=email&amp;amp;utm-term=2026-03-05-09-31-38" TargetMode="External"/><Relationship Id="rId31" Type="http://schemas.openxmlformats.org/officeDocument/2006/relationships/hyperlink" Target="https://bidassist.com/tender/detail/2bb9c648-ac3d-499a-8e9b-8d75b437e674?utm_source=BAS-Registered&amp;amp;utm_campaign=emailtenderlist&amp;amp;utm_content=2bb9c648-ac3d-499a-8e9b-8d75b437e674&amp;amp;utm_medium=email&amp;amp;utm-term=2026-03-05-09-31-38" TargetMode="External"/><Relationship Id="rId52" Type="http://schemas.openxmlformats.org/officeDocument/2006/relationships/hyperlink" Target="https://bidassist.com/tender/detail/731b7872-053c-42b9-a76b-8fc52792d069?utm_source=BAS-Registered&amp;amp;utm_campaign=emailtenderlist&amp;amp;utm_content=731b7872-053c-42b9-a76b-8fc52792d069&amp;amp;utm_medium=email&amp;amp;utm-term=2026-03-05-09-31-38" TargetMode="External"/><Relationship Id="rId73" Type="http://schemas.openxmlformats.org/officeDocument/2006/relationships/hyperlink" Target="https://bidassist.com/tender/detail/e0c63064-5379-4254-a28e-c4a103d054b3?utm_source=BAS-Registered&amp;amp;utm_campaign=emailtenderlist&amp;amp;utm_content=e0c63064-5379-4254-a28e-c4a103d054b3&amp;amp;utm_medium=email&amp;amp;utm-term=2026-03-05-09-31-38" TargetMode="External"/><Relationship Id="rId94" Type="http://schemas.openxmlformats.org/officeDocument/2006/relationships/hyperlink" Target="https://bidassist.com/tender/detail/b50e464a-eb84-413e-9dc6-5900e98860b0?utm_source=BAS-Registered&amp;amp;utm_campaign=emailtenderlist&amp;amp;utm_content=b50e464a-eb84-413e-9dc6-5900e98860b0&amp;amp;utm_medium=email&amp;amp;utm-term=2026-03-05-09-31-38" TargetMode="External"/><Relationship Id="rId148" Type="http://schemas.openxmlformats.org/officeDocument/2006/relationships/hyperlink" Target="https://bidassist.com/tender/detail/3d1945c5-df31-4549-82f8-c906160a59c2?utm_source=BAS-Registered&amp;amp;utm_campaign=emailtenderlist&amp;amp;utm_content=3d1945c5-df31-4549-82f8-c906160a59c2&amp;amp;utm_medium=email&amp;amp;utm-term=2026-03-05-09-31-38" TargetMode="External"/><Relationship Id="rId169" Type="http://schemas.openxmlformats.org/officeDocument/2006/relationships/hyperlink" Target="https://bidassist.com/tender/detail/8cb82fbd-ea3a-4560-a7a7-58a6eba5a3ea?utm_source=BAS-Registered&amp;amp;utm_campaign=emailtenderlist&amp;amp;utm_content=8cb82fbd-ea3a-4560-a7a7-58a6eba5a3ea&amp;amp;utm_medium=email&amp;amp;utm-term=2026-03-05-09-31-38" TargetMode="External"/><Relationship Id="rId4" Type="http://schemas.openxmlformats.org/officeDocument/2006/relationships/hyperlink" Target="https://bidassist.com/tender/detail/8ce5e0eb-644b-4a5f-8cda-4963889fc720?utm_source=BAS-Registered&amp;amp;utm_campaign=emailtenderlist&amp;amp;utm_content=8ce5e0eb-644b-4a5f-8cda-4963889fc720&amp;amp;utm_medium=email&amp;amp;utm-term=2026-03-05-09-31-38" TargetMode="External"/><Relationship Id="rId180" Type="http://schemas.openxmlformats.org/officeDocument/2006/relationships/hyperlink" Target="https://bidassist.com/tender/detail/9a29acce-2390-4ded-91c0-d8de9c5aa944?utm_source=BAS-Registered&amp;amp;utm_campaign=emailtenderlist&amp;amp;utm_content=9a29acce-2390-4ded-91c0-d8de9c5aa944&amp;amp;utm_medium=email&amp;amp;utm-term=2026-03-05-09-31-38" TargetMode="External"/><Relationship Id="rId215" Type="http://schemas.openxmlformats.org/officeDocument/2006/relationships/hyperlink" Target="https://bidassist.com/tender/detail/c452e2b6-1330-4211-848c-a9a945355a44?utm_source=BAS-Registered&amp;amp;utm_campaign=emailtenderlist&amp;amp;utm_content=c452e2b6-1330-4211-848c-a9a945355a44&amp;amp;utm_medium=email&amp;amp;utm-term=2026-03-05-09-31-38" TargetMode="External"/><Relationship Id="rId236" Type="http://schemas.openxmlformats.org/officeDocument/2006/relationships/hyperlink" Target="https://bidassist.com/tender/detail/cd37a7ef-8e97-437b-ad02-b402f7000665?utm_source=BAS-Registered&amp;amp;utm_campaign=emailtenderlist&amp;amp;utm_content=cd37a7ef-8e97-437b-ad02-b402f7000665&amp;amp;utm_medium=email&amp;amp;utm-term=2026-03-05-09-31-38" TargetMode="External"/><Relationship Id="rId257"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bidassist.com/tender/detail/cb65004c-a60e-43d5-8869-90c2f893c16f?utm_source=BAS-Registered&amp;amp;utm_campaign=emailtenderlist&amp;amp;utm_content=cb65004c-a60e-43d5-8869-90c2f893c16f&amp;amp;utm_medium=email&amp;amp;utm-term=2026-03-05-09-31-38" TargetMode="External"/><Relationship Id="rId21" Type="http://schemas.openxmlformats.org/officeDocument/2006/relationships/hyperlink" Target="https://bidassist.com/tender/detail/5793601e-665f-46bb-bbb3-306767bf5475?utm_source=BAS-Registered&amp;amp;utm_campaign=emailtenderlist&amp;amp;utm_content=5793601e-665f-46bb-bbb3-306767bf5475&amp;amp;utm_medium=email&amp;amp;utm-term=2026-03-05-09-31-38" TargetMode="External"/><Relationship Id="rId42" Type="http://schemas.openxmlformats.org/officeDocument/2006/relationships/hyperlink" Target="https://bidassist.com/tender/detail/ef34dbb9-33a8-47cf-a3d6-b28d792e1ffe?utm_source=BAS-Registered&amp;amp;utm_campaign=emailtenderlist&amp;amp;utm_content=ef34dbb9-33a8-47cf-a3d6-b28d792e1ffe&amp;amp;utm_medium=email&amp;amp;utm-term=2026-03-05-09-31-38" TargetMode="External"/><Relationship Id="rId63" Type="http://schemas.openxmlformats.org/officeDocument/2006/relationships/hyperlink" Target="https://bidassist.com/tender/detail/aa4fa364-c56e-4c5c-a899-b439be4e87b9?utm_source=BAS-Registered&amp;amp;utm_campaign=emailtenderlist&amp;amp;utm_content=aa4fa364-c56e-4c5c-a899-b439be4e87b9&amp;amp;utm_medium=email&amp;amp;utm-term=2026-03-05-09-31-38" TargetMode="External"/><Relationship Id="rId84" Type="http://schemas.openxmlformats.org/officeDocument/2006/relationships/hyperlink" Target="https://bidassist.com/tender/detail/4a7fb24c-8f53-44fd-b46e-9c8e84c184e3?utm_source=BAS-Registered&amp;amp;utm_campaign=emailtenderlist&amp;amp;utm_content=4a7fb24c-8f53-44fd-b46e-9c8e84c184e3&amp;amp;utm_medium=email&amp;amp;utm-term=2026-03-05-09-31-38" TargetMode="External"/><Relationship Id="rId138" Type="http://schemas.openxmlformats.org/officeDocument/2006/relationships/hyperlink" Target="https://bidassist.com/tender/detail/baa490ea-ae68-422b-8123-5a86d7f1f698?utm_source=BAS-Registered&amp;amp;utm_campaign=emailtenderlist&amp;amp;utm_content=baa490ea-ae68-422b-8123-5a86d7f1f698&amp;amp;utm_medium=email&amp;amp;utm-term=2026-03-05-09-31-38" TargetMode="External"/><Relationship Id="rId159" Type="http://schemas.openxmlformats.org/officeDocument/2006/relationships/hyperlink" Target="https://bidassist.com/tender/detail/e1ff0a7c-f979-4036-bf4d-d67a7155b1ba?utm_source=BAS-Registered&amp;amp;utm_campaign=emailtenderlist&amp;amp;utm_content=e1ff0a7c-f979-4036-bf4d-d67a7155b1ba&amp;amp;utm_medium=email&amp;amp;utm-term=2026-03-05-09-31-38" TargetMode="External"/><Relationship Id="rId170" Type="http://schemas.openxmlformats.org/officeDocument/2006/relationships/hyperlink" Target="https://bidassist.com/tender/detail/8d078776-ef24-4715-afe2-c6090f956daa?utm_source=BAS-Registered&amp;amp;utm_campaign=emailtenderlist&amp;amp;utm_content=8d078776-ef24-4715-afe2-c6090f956daa&amp;amp;utm_medium=email&amp;amp;utm-term=2026-03-05-09-31-38" TargetMode="External"/><Relationship Id="rId191" Type="http://schemas.openxmlformats.org/officeDocument/2006/relationships/hyperlink" Target="https://bidassist.com/tender/detail/6989fa58-5e38-4f5d-945c-91223ba77bf7?utm_source=BAS-Registered&amp;amp;utm_campaign=emailtenderlist&amp;amp;utm_content=6989fa58-5e38-4f5d-945c-91223ba77bf7&amp;amp;utm_medium=email&amp;amp;utm-term=2026-03-05-09-31-38" TargetMode="External"/><Relationship Id="rId205" Type="http://schemas.openxmlformats.org/officeDocument/2006/relationships/hyperlink" Target="https://bidassist.com/tender/detail/803446a4-780e-41be-9632-2ae5c612ef5f?utm_source=BAS-Registered&amp;amp;utm_campaign=emailtenderlist&amp;amp;utm_content=803446a4-780e-41be-9632-2ae5c612ef5f&amp;amp;utm_medium=email&amp;amp;utm-term=2026-03-05-09-31-38" TargetMode="External"/><Relationship Id="rId226" Type="http://schemas.openxmlformats.org/officeDocument/2006/relationships/hyperlink" Target="https://bidassist.com/tender/detail/0a17b557-1ef3-4a68-ad84-2ef5a39c29ac?utm_source=BAS-Registered&amp;amp;utm_campaign=emailtenderlist&amp;amp;utm_content=0a17b557-1ef3-4a68-ad84-2ef5a39c29ac&amp;amp;utm_medium=email&amp;amp;utm-term=2026-03-05-09-31-38" TargetMode="External"/><Relationship Id="rId247" Type="http://schemas.openxmlformats.org/officeDocument/2006/relationships/hyperlink" Target="https://bidassist.com/tender/detail/31ed3917-845c-4c6e-95e7-e13466cc15ab?utm_source=BAS-Registered&amp;amp;utm_campaign=emailtenderlist&amp;amp;utm_content=31ed3917-845c-4c6e-95e7-e13466cc15ab&amp;amp;utm_medium=email&amp;amp;utm-term=2026-03-05-09-31-38" TargetMode="External"/><Relationship Id="rId107" Type="http://schemas.openxmlformats.org/officeDocument/2006/relationships/hyperlink" Target="https://bidassist.com/tender/detail/c1fddd05-6bce-47c3-b94f-22fb58146fb2?utm_source=BAS-Registered&amp;amp;utm_campaign=emailtenderlist&amp;amp;utm_content=c1fddd05-6bce-47c3-b94f-22fb58146fb2&amp;amp;utm_medium=email&amp;amp;utm-term=2026-03-05-09-31-38" TargetMode="External"/><Relationship Id="rId11" Type="http://schemas.openxmlformats.org/officeDocument/2006/relationships/hyperlink" Target="https://bidassist.com/tender/detail/2031f150-ca23-4dd1-836a-fcf8e76b2ddc?utm_source=BAS-Registered&amp;amp;utm_campaign=emailtenderlist&amp;amp;utm_content=2031f150-ca23-4dd1-836a-fcf8e76b2ddc&amp;amp;utm_medium=email&amp;amp;utm-term=2026-03-05-09-31-38" TargetMode="External"/><Relationship Id="rId32" Type="http://schemas.openxmlformats.org/officeDocument/2006/relationships/hyperlink" Target="https://bidassist.com/tender/detail/9ac9f66b-1400-45cd-8605-d23f8c82bdc8?utm_source=BAS-Registered&amp;amp;utm_campaign=emailtenderlist&amp;amp;utm_content=9ac9f66b-1400-45cd-8605-d23f8c82bdc8&amp;amp;utm_medium=email&amp;amp;utm-term=2026-03-05-09-31-38" TargetMode="External"/><Relationship Id="rId53" Type="http://schemas.openxmlformats.org/officeDocument/2006/relationships/hyperlink" Target="https://bidassist.com/tender/detail/739138a6-220e-41eb-af10-f59ef0e44379?utm_source=BAS-Registered&amp;amp;utm_campaign=emailtenderlist&amp;amp;utm_content=739138a6-220e-41eb-af10-f59ef0e44379&amp;amp;utm_medium=email&amp;amp;utm-term=2026-03-05-09-31-38" TargetMode="External"/><Relationship Id="rId74" Type="http://schemas.openxmlformats.org/officeDocument/2006/relationships/hyperlink" Target="https://bidassist.com/tender/detail/9f76d6e7-5257-437b-9320-33a52fa23fea?utm_source=BAS-Registered&amp;amp;utm_campaign=emailtenderlist&amp;amp;utm_content=9f76d6e7-5257-437b-9320-33a52fa23fea&amp;amp;utm_medium=email&amp;amp;utm-term=2026-03-05-09-31-38" TargetMode="External"/><Relationship Id="rId128" Type="http://schemas.openxmlformats.org/officeDocument/2006/relationships/hyperlink" Target="https://bidassist.com/tender/detail/9e35358c-6bdf-46fc-8695-bc22cbc2fe9b?utm_source=BAS-Registered&amp;amp;utm_campaign=emailtenderlist&amp;amp;utm_content=9e35358c-6bdf-46fc-8695-bc22cbc2fe9b&amp;amp;utm_medium=email&amp;amp;utm-term=2026-03-05-09-31-38" TargetMode="External"/><Relationship Id="rId149" Type="http://schemas.openxmlformats.org/officeDocument/2006/relationships/hyperlink" Target="https://bidassist.com/tender/detail/3fc6e9e9-5c40-4bbd-8915-95c1401ef5a9?utm_source=BAS-Registered&amp;amp;utm_campaign=emailtenderlist&amp;amp;utm_content=3fc6e9e9-5c40-4bbd-8915-95c1401ef5a9&amp;amp;utm_medium=email&amp;amp;utm-term=2026-03-05-09-31-38" TargetMode="External"/><Relationship Id="rId5" Type="http://schemas.openxmlformats.org/officeDocument/2006/relationships/hyperlink" Target="https://bidassist.com/tender/detail/f5d634a2-28b3-40a1-b476-d4ada078cf76?utm_source=BAS-Registered&amp;amp;utm_campaign=emailtenderlist&amp;amp;utm_content=f5d634a2-28b3-40a1-b476-d4ada078cf76&amp;amp;utm_medium=email&amp;amp;utm-term=2026-03-05-09-31-38" TargetMode="External"/><Relationship Id="rId95" Type="http://schemas.openxmlformats.org/officeDocument/2006/relationships/hyperlink" Target="https://bidassist.com/tender/detail/d2d1b817-ef87-40bd-88d5-f1a24c6c6ffa?utm_source=BAS-Registered&amp;amp;utm_campaign=emailtenderlist&amp;amp;utm_content=d2d1b817-ef87-40bd-88d5-f1a24c6c6ffa&amp;amp;utm_medium=email&amp;amp;utm-term=2026-03-05-09-31-38" TargetMode="External"/><Relationship Id="rId160" Type="http://schemas.openxmlformats.org/officeDocument/2006/relationships/hyperlink" Target="https://bidassist.com/tender/detail/b648817f-cf78-422a-a3a0-c97f17b9ce1a?utm_source=BAS-Registered&amp;amp;utm_campaign=emailtenderlist&amp;amp;utm_content=b648817f-cf78-422a-a3a0-c97f17b9ce1a&amp;amp;utm_medium=email&amp;amp;utm-term=2026-03-05-09-31-38" TargetMode="External"/><Relationship Id="rId181" Type="http://schemas.openxmlformats.org/officeDocument/2006/relationships/hyperlink" Target="https://bidassist.com/tender/detail/a4443a65-3d67-46af-9f5b-ea139e952a22?utm_source=BAS-Registered&amp;amp;utm_campaign=emailtenderlist&amp;amp;utm_content=a4443a65-3d67-46af-9f5b-ea139e952a22&amp;amp;utm_medium=email&amp;amp;utm-term=2026-03-05-09-31-38" TargetMode="External"/><Relationship Id="rId216" Type="http://schemas.openxmlformats.org/officeDocument/2006/relationships/hyperlink" Target="https://bidassist.com/tender/detail/6955a301-2fcd-42de-9d62-a634f1b1bf6d?utm_source=BAS-Registered&amp;amp;utm_campaign=emailtenderlist&amp;amp;utm_content=6955a301-2fcd-42de-9d62-a634f1b1bf6d&amp;amp;utm_medium=email&amp;amp;utm-term=2026-03-05-09-31-38" TargetMode="External"/><Relationship Id="rId237" Type="http://schemas.openxmlformats.org/officeDocument/2006/relationships/hyperlink" Target="https://bidassist.com/tender/detail/cd846856-dd40-4693-bfe1-8b0349b188ef?utm_source=BAS-Registered&amp;amp;utm_campaign=emailtenderlist&amp;amp;utm_content=cd846856-dd40-4693-bfe1-8b0349b188ef&amp;amp;utm_medium=email&amp;amp;utm-term=2026-03-05-09-31-38" TargetMode="External"/><Relationship Id="rId258" Type="http://schemas.openxmlformats.org/officeDocument/2006/relationships/drawing" Target="../drawings/drawing1.xml"/><Relationship Id="rId22" Type="http://schemas.openxmlformats.org/officeDocument/2006/relationships/hyperlink" Target="https://bidassist.com/tender/detail/0df01af6-493d-4334-b0ed-d4f513160797?utm_source=BAS-Registered&amp;amp;utm_campaign=emailtenderlist&amp;amp;utm_content=0df01af6-493d-4334-b0ed-d4f513160797&amp;amp;utm_medium=email&amp;amp;utm-term=2026-03-05-09-31-38" TargetMode="External"/><Relationship Id="rId43" Type="http://schemas.openxmlformats.org/officeDocument/2006/relationships/hyperlink" Target="https://bidassist.com/tender/detail/23705457-87f8-43e3-ab2a-350bb93c102d?utm_source=BAS-Registered&amp;amp;utm_campaign=emailtenderlist&amp;amp;utm_content=23705457-87f8-43e3-ab2a-350bb93c102d&amp;amp;utm_medium=email&amp;amp;utm-term=2026-03-05-09-31-38" TargetMode="External"/><Relationship Id="rId64" Type="http://schemas.openxmlformats.org/officeDocument/2006/relationships/hyperlink" Target="https://bidassist.com/tender/detail/e7aeecef-ca8d-4e27-8171-67c168da69fe?utm_source=BAS-Registered&amp;amp;utm_campaign=emailtenderlist&amp;amp;utm_content=e7aeecef-ca8d-4e27-8171-67c168da69fe&amp;amp;utm_medium=email&amp;amp;utm-term=2026-03-05-09-31-38" TargetMode="External"/><Relationship Id="rId118" Type="http://schemas.openxmlformats.org/officeDocument/2006/relationships/hyperlink" Target="https://bidassist.com/tender/detail/cebc6813-9e98-418c-a1c6-bfebd1e72876?utm_source=BAS-Registered&amp;amp;utm_campaign=emailtenderlist&amp;amp;utm_content=cebc6813-9e98-418c-a1c6-bfebd1e72876&amp;amp;utm_medium=email&amp;amp;utm-term=2026-03-05-09-31-38" TargetMode="External"/><Relationship Id="rId139" Type="http://schemas.openxmlformats.org/officeDocument/2006/relationships/hyperlink" Target="https://bidassist.com/tender/detail/d25a0bba-fc61-4553-8203-30b9ddc5c082?utm_source=BAS-Registered&amp;amp;utm_campaign=emailtenderlist&amp;amp;utm_content=d25a0bba-fc61-4553-8203-30b9ddc5c082&amp;amp;utm_medium=email&amp;amp;utm-term=2026-03-05-09-31-38" TargetMode="External"/><Relationship Id="rId85" Type="http://schemas.openxmlformats.org/officeDocument/2006/relationships/hyperlink" Target="https://bidassist.com/tender/detail/4d68f64f-fccd-45b5-9a42-816879773d90?utm_source=BAS-Registered&amp;amp;utm_campaign=emailtenderlist&amp;amp;utm_content=4d68f64f-fccd-45b5-9a42-816879773d90&amp;amp;utm_medium=email&amp;amp;utm-term=2026-03-05-09-31-38" TargetMode="External"/><Relationship Id="rId150" Type="http://schemas.openxmlformats.org/officeDocument/2006/relationships/hyperlink" Target="https://bidassist.com/tender/detail/0eb0bd64-1ced-485a-8616-debb4fd215a5?utm_source=BAS-Registered&amp;amp;utm_campaign=emailtenderlist&amp;amp;utm_content=0eb0bd64-1ced-485a-8616-debb4fd215a5&amp;amp;utm_medium=email&amp;amp;utm-term=2026-03-05-09-31-38" TargetMode="External"/><Relationship Id="rId171" Type="http://schemas.openxmlformats.org/officeDocument/2006/relationships/hyperlink" Target="https://bidassist.com/tender/detail/df999632-bb1d-46c2-90fe-5833773aab85?utm_source=BAS-Registered&amp;amp;utm_campaign=emailtenderlist&amp;amp;utm_content=df999632-bb1d-46c2-90fe-5833773aab85&amp;amp;utm_medium=email&amp;amp;utm-term=2026-03-05-09-31-38" TargetMode="External"/><Relationship Id="rId192" Type="http://schemas.openxmlformats.org/officeDocument/2006/relationships/hyperlink" Target="https://bidassist.com/tender/detail/73e55917-43e3-4879-97f3-b2d2a35c549a?utm_source=BAS-Registered&amp;amp;utm_campaign=emailtenderlist&amp;amp;utm_content=73e55917-43e3-4879-97f3-b2d2a35c549a&amp;amp;utm_medium=email&amp;amp;utm-term=2026-03-05-09-31-38" TargetMode="External"/><Relationship Id="rId206" Type="http://schemas.openxmlformats.org/officeDocument/2006/relationships/hyperlink" Target="https://bidassist.com/tender/detail/41d8bbb1-9740-4322-bbd1-0de6a9c7bead?utm_source=BAS-Registered&amp;amp;utm_campaign=emailtenderlist&amp;amp;utm_content=41d8bbb1-9740-4322-bbd1-0de6a9c7bead&amp;amp;utm_medium=email&amp;amp;utm-term=2026-03-05-09-31-38" TargetMode="External"/><Relationship Id="rId227" Type="http://schemas.openxmlformats.org/officeDocument/2006/relationships/hyperlink" Target="https://bidassist.com/tender/detail/0a5aa559-a653-42dc-8b48-b9a39389561d?utm_source=BAS-Registered&amp;amp;utm_campaign=emailtenderlist&amp;amp;utm_content=0a5aa559-a653-42dc-8b48-b9a39389561d&amp;amp;utm_medium=email&amp;amp;utm-term=2026-03-05-09-31-38" TargetMode="External"/><Relationship Id="rId248" Type="http://schemas.openxmlformats.org/officeDocument/2006/relationships/hyperlink" Target="https://bidassist.com/tender/detail/3f344c09-54d5-4402-92d8-128ad0b625a4?utm_source=BAS-Registered&amp;amp;utm_campaign=emailtenderlist&amp;amp;utm_content=3f344c09-54d5-4402-92d8-128ad0b625a4&amp;amp;utm_medium=email&amp;amp;utm-term=2026-03-05-09-31-38" TargetMode="External"/><Relationship Id="rId12" Type="http://schemas.openxmlformats.org/officeDocument/2006/relationships/hyperlink" Target="https://bidassist.com/tender/detail/3162b52b-e6ca-40e6-af3f-d6cc9f4e0931?utm_source=BAS-Registered&amp;amp;utm_campaign=emailtenderlist&amp;amp;utm_content=3162b52b-e6ca-40e6-af3f-d6cc9f4e0931&amp;amp;utm_medium=email&amp;amp;utm-term=2026-03-05-09-31-38" TargetMode="External"/><Relationship Id="rId33" Type="http://schemas.openxmlformats.org/officeDocument/2006/relationships/hyperlink" Target="https://bidassist.com/tender/detail/c22a1db3-2a98-4464-b47c-c395cbfa8166?utm_source=BAS-Registered&amp;amp;utm_campaign=emailtenderlist&amp;amp;utm_content=c22a1db3-2a98-4464-b47c-c395cbfa8166&amp;amp;utm_medium=email&amp;amp;utm-term=2026-03-05-09-31-38" TargetMode="External"/><Relationship Id="rId108" Type="http://schemas.openxmlformats.org/officeDocument/2006/relationships/hyperlink" Target="https://bidassist.com/tender/detail/d79151fd-c3cc-427e-9bbe-2082338347b1?utm_source=BAS-Registered&amp;amp;utm_campaign=emailtenderlist&amp;amp;utm_content=d79151fd-c3cc-427e-9bbe-2082338347b1&amp;amp;utm_medium=email&amp;amp;utm-term=2026-03-05-09-31-38" TargetMode="External"/><Relationship Id="rId129" Type="http://schemas.openxmlformats.org/officeDocument/2006/relationships/hyperlink" Target="https://bidassist.com/tender/detail/acf7f95e-2cfc-4d96-b03c-b867d9b4117f?utm_source=BAS-Registered&amp;amp;utm_campaign=emailtenderlist&amp;amp;utm_content=acf7f95e-2cfc-4d96-b03c-b867d9b4117f&amp;amp;utm_medium=email&amp;amp;utm-term=2026-03-05-09-31-38" TargetMode="External"/><Relationship Id="rId54" Type="http://schemas.openxmlformats.org/officeDocument/2006/relationships/hyperlink" Target="https://bidassist.com/tender/detail/84380fcd-691a-469d-bec2-ec77c9d742f8?utm_source=BAS-Registered&amp;amp;utm_campaign=emailtenderlist&amp;amp;utm_content=84380fcd-691a-469d-bec2-ec77c9d742f8&amp;amp;utm_medium=email&amp;amp;utm-term=2026-03-05-09-31-38" TargetMode="External"/><Relationship Id="rId75" Type="http://schemas.openxmlformats.org/officeDocument/2006/relationships/hyperlink" Target="https://bidassist.com/tender/detail/a2cecf17-a632-4e71-8705-8ad624d9bbd6?utm_source=BAS-Registered&amp;amp;utm_campaign=emailtenderlist&amp;amp;utm_content=a2cecf17-a632-4e71-8705-8ad624d9bbd6&amp;amp;utm_medium=email&amp;amp;utm-term=2026-03-05-09-31-38" TargetMode="External"/><Relationship Id="rId96" Type="http://schemas.openxmlformats.org/officeDocument/2006/relationships/hyperlink" Target="https://bidassist.com/tender/detail/de25cb61-6d94-4448-a433-451472c192f3?utm_source=BAS-Registered&amp;amp;utm_campaign=emailtenderlist&amp;amp;utm_content=de25cb61-6d94-4448-a433-451472c192f3&amp;amp;utm_medium=email&amp;amp;utm-term=2026-03-05-09-31-38" TargetMode="External"/><Relationship Id="rId140" Type="http://schemas.openxmlformats.org/officeDocument/2006/relationships/hyperlink" Target="https://bidassist.com/tender/detail/ec4a0a20-c9dc-4fac-9e74-bbe850893c98?utm_source=BAS-Registered&amp;amp;utm_campaign=emailtenderlist&amp;amp;utm_content=ec4a0a20-c9dc-4fac-9e74-bbe850893c98&amp;amp;utm_medium=email&amp;amp;utm-term=2026-03-05-09-31-38" TargetMode="External"/><Relationship Id="rId161" Type="http://schemas.openxmlformats.org/officeDocument/2006/relationships/hyperlink" Target="https://bidassist.com/tender/detail/b931f9e9-0fd8-414a-b8ba-8f15a1354d13?utm_source=BAS-Registered&amp;amp;utm_campaign=emailtenderlist&amp;amp;utm_content=b931f9e9-0fd8-414a-b8ba-8f15a1354d13&amp;amp;utm_medium=email&amp;amp;utm-term=2026-03-05-09-31-38" TargetMode="External"/><Relationship Id="rId182" Type="http://schemas.openxmlformats.org/officeDocument/2006/relationships/hyperlink" Target="https://bidassist.com/tender/detail/a460ce11-7fa2-4bc9-8471-00a7e85b4e84?utm_source=BAS-Registered&amp;amp;utm_campaign=emailtenderlist&amp;amp;utm_content=a460ce11-7fa2-4bc9-8471-00a7e85b4e84&amp;amp;utm_medium=email&amp;amp;utm-term=2026-03-05-09-31-38" TargetMode="External"/><Relationship Id="rId217" Type="http://schemas.openxmlformats.org/officeDocument/2006/relationships/hyperlink" Target="https://bidassist.com/tender/detail/457e5fc4-47ad-4668-a80f-ca9052f5fe5b?utm_source=BAS-Registered&amp;amp;utm_campaign=emailtenderlist&amp;amp;utm_content=457e5fc4-47ad-4668-a80f-ca9052f5fe5b&amp;amp;utm_medium=email&amp;amp;utm-term=2026-03-05-09-31-38" TargetMode="External"/><Relationship Id="rId6" Type="http://schemas.openxmlformats.org/officeDocument/2006/relationships/hyperlink" Target="https://bidassist.com/tender/detail/ff30d218-7107-4612-a7f0-9eec6ef9b0b3?utm_source=BAS-Registered&amp;amp;utm_campaign=emailtenderlist&amp;amp;utm_content=ff30d218-7107-4612-a7f0-9eec6ef9b0b3&amp;amp;utm_medium=email&amp;amp;utm-term=2026-03-05-09-31-38" TargetMode="External"/><Relationship Id="rId238" Type="http://schemas.openxmlformats.org/officeDocument/2006/relationships/hyperlink" Target="https://bidassist.com/tender/detail/e663d7c3-38bc-4c25-87a1-5f8ddc0537d1?utm_source=BAS-Registered&amp;amp;utm_campaign=emailtenderlist&amp;amp;utm_content=e663d7c3-38bc-4c25-87a1-5f8ddc0537d1&amp;amp;utm_medium=email&amp;amp;utm-term=2026-03-05-09-31-38" TargetMode="External"/><Relationship Id="rId259" Type="http://schemas.openxmlformats.org/officeDocument/2006/relationships/table" Target="../tables/table1.xml"/><Relationship Id="rId23" Type="http://schemas.openxmlformats.org/officeDocument/2006/relationships/hyperlink" Target="https://bidassist.com/tender/detail/e554b671-973b-470c-8607-4b897df8fd8d?utm_source=BAS-Registered&amp;amp;utm_campaign=emailtenderlist&amp;amp;utm_content=e554b671-973b-470c-8607-4b897df8fd8d&amp;amp;utm_medium=email&amp;amp;utm-term=2026-03-05-09-31-38" TargetMode="External"/><Relationship Id="rId119" Type="http://schemas.openxmlformats.org/officeDocument/2006/relationships/hyperlink" Target="https://bidassist.com/tender/detail/dd011ea1-cc9f-41a4-ba67-261283aa10dc?utm_source=BAS-Registered&amp;amp;utm_campaign=emailtenderlist&amp;amp;utm_content=dd011ea1-cc9f-41a4-ba67-261283aa10dc&amp;amp;utm_medium=email&amp;amp;utm-term=2026-03-05-09-31-38" TargetMode="External"/><Relationship Id="rId44" Type="http://schemas.openxmlformats.org/officeDocument/2006/relationships/hyperlink" Target="https://bidassist.com/tender/detail/0f8c45cc-7923-44ea-bf48-c59fa190e506?utm_source=BAS-Registered&amp;amp;utm_campaign=emailtenderlist&amp;amp;utm_content=0f8c45cc-7923-44ea-bf48-c59fa190e506&amp;amp;utm_medium=email&amp;amp;utm-term=2026-03-05-09-31-38" TargetMode="External"/><Relationship Id="rId65" Type="http://schemas.openxmlformats.org/officeDocument/2006/relationships/hyperlink" Target="https://bidassist.com/tender/detail/ec53b60b-a3f2-40dc-811a-89b4b5b2a035?utm_source=BAS-Registered&amp;amp;utm_campaign=emailtenderlist&amp;amp;utm_content=ec53b60b-a3f2-40dc-811a-89b4b5b2a035&amp;amp;utm_medium=email&amp;amp;utm-term=2026-03-05-09-31-38" TargetMode="External"/><Relationship Id="rId86" Type="http://schemas.openxmlformats.org/officeDocument/2006/relationships/hyperlink" Target="https://bidassist.com/tender/detail/50cb108b-8a10-4597-bd9d-626fe0cfeed1?utm_source=BAS-Registered&amp;amp;utm_campaign=emailtenderlist&amp;amp;utm_content=50cb108b-8a10-4597-bd9d-626fe0cfeed1&amp;amp;utm_medium=email&amp;amp;utm-term=2026-03-05-09-31-38" TargetMode="External"/><Relationship Id="rId130" Type="http://schemas.openxmlformats.org/officeDocument/2006/relationships/hyperlink" Target="https://bidassist.com/tender/detail/afe4eeda-ff8c-4824-8dd9-89c5d1e41541?utm_source=BAS-Registered&amp;amp;utm_campaign=emailtenderlist&amp;amp;utm_content=afe4eeda-ff8c-4824-8dd9-89c5d1e41541&amp;amp;utm_medium=email&amp;amp;utm-term=2026-03-05-09-31-38" TargetMode="External"/><Relationship Id="rId151" Type="http://schemas.openxmlformats.org/officeDocument/2006/relationships/hyperlink" Target="https://bidassist.com/tender/detail/1c43c06b-9237-4db0-97ad-777861edb710?utm_source=BAS-Registered&amp;amp;utm_campaign=emailtenderlist&amp;amp;utm_content=1c43c06b-9237-4db0-97ad-777861edb710&amp;amp;utm_medium=email&amp;amp;utm-term=2026-03-05-09-31-38" TargetMode="External"/><Relationship Id="rId172" Type="http://schemas.openxmlformats.org/officeDocument/2006/relationships/hyperlink" Target="https://bidassist.com/tender/detail/e87c0166-429b-493b-bf68-f3c5e57657a6?utm_source=BAS-Registered&amp;amp;utm_campaign=emailtenderlist&amp;amp;utm_content=e87c0166-429b-493b-bf68-f3c5e57657a6&amp;amp;utm_medium=email&amp;amp;utm-term=2026-03-05-09-31-38" TargetMode="External"/><Relationship Id="rId193" Type="http://schemas.openxmlformats.org/officeDocument/2006/relationships/hyperlink" Target="https://bidassist.com/tender/detail/7c5124d3-cc4e-4944-9894-f6402216784c?utm_source=BAS-Registered&amp;amp;utm_campaign=emailtenderlist&amp;amp;utm_content=7c5124d3-cc4e-4944-9894-f6402216784c&amp;amp;utm_medium=email&amp;amp;utm-term=2026-03-05-09-31-38" TargetMode="External"/><Relationship Id="rId207" Type="http://schemas.openxmlformats.org/officeDocument/2006/relationships/hyperlink" Target="https://bidassist.com/tender/detail/77b7eeeb-7bfa-45c5-b473-7f146449eb81?utm_source=BAS-Registered&amp;amp;utm_campaign=emailtenderlist&amp;amp;utm_content=77b7eeeb-7bfa-45c5-b473-7f146449eb81&amp;amp;utm_medium=email&amp;amp;utm-term=2026-03-05-09-31-38" TargetMode="External"/><Relationship Id="rId228" Type="http://schemas.openxmlformats.org/officeDocument/2006/relationships/hyperlink" Target="https://bidassist.com/tender/detail/1d7803b6-bb0e-4e6e-950a-43f45dbb7282?utm_source=BAS-Registered&amp;amp;utm_campaign=emailtenderlist&amp;amp;utm_content=1d7803b6-bb0e-4e6e-950a-43f45dbb7282&amp;amp;utm_medium=email&amp;amp;utm-term=2026-03-05-09-31-38" TargetMode="External"/><Relationship Id="rId249" Type="http://schemas.openxmlformats.org/officeDocument/2006/relationships/hyperlink" Target="https://bidassist.com/tender/detail/3f600897-fb46-4a6c-a775-c5d28570b2d4?utm_source=BAS-Registered&amp;amp;utm_campaign=emailtenderlist&amp;amp;utm_content=3f600897-fb46-4a6c-a775-c5d28570b2d4&amp;amp;utm_medium=email&amp;amp;utm-term=2026-03-05-09-31-38" TargetMode="External"/><Relationship Id="rId13" Type="http://schemas.openxmlformats.org/officeDocument/2006/relationships/hyperlink" Target="https://bidassist.com/tender/detail/a09e5a83-9e0e-4d5c-8fd0-72b05325973f?utm_source=BAS-Registered&amp;amp;utm_campaign=emailtenderlist&amp;amp;utm_content=a09e5a83-9e0e-4d5c-8fd0-72b05325973f&amp;amp;utm_medium=email&amp;amp;utm-term=2026-03-05-09-31-38" TargetMode="External"/><Relationship Id="rId109" Type="http://schemas.openxmlformats.org/officeDocument/2006/relationships/hyperlink" Target="https://bidassist.com/tender/detail/07e0d461-5ea4-471a-bb4f-208645435af2?utm_source=BAS-Registered&amp;amp;utm_campaign=emailtenderlist&amp;amp;utm_content=07e0d461-5ea4-471a-bb4f-208645435af2&amp;amp;utm_medium=email&amp;amp;utm-term=2026-03-05-09-31-38" TargetMode="External"/><Relationship Id="rId260" Type="http://schemas.microsoft.com/office/2007/relationships/slicer" Target="../slicers/slicer1.xml"/><Relationship Id="rId34" Type="http://schemas.openxmlformats.org/officeDocument/2006/relationships/hyperlink" Target="https://bidassist.com/tender/detail/ed37df17-efc7-4917-9083-0152fa73c4b9?utm_source=BAS-Registered&amp;amp;utm_campaign=emailtenderlist&amp;amp;utm_content=ed37df17-efc7-4917-9083-0152fa73c4b9&amp;amp;utm_medium=email&amp;amp;utm-term=2026-03-05-09-31-38" TargetMode="External"/><Relationship Id="rId55" Type="http://schemas.openxmlformats.org/officeDocument/2006/relationships/hyperlink" Target="https://bidassist.com/tender/detail/85eb52c2-90c0-491d-b67d-b7f8a51f731f?utm_source=BAS-Registered&amp;amp;utm_campaign=emailtenderlist&amp;amp;utm_content=85eb52c2-90c0-491d-b67d-b7f8a51f731f&amp;amp;utm_medium=email&amp;amp;utm-term=2026-03-05-09-31-38" TargetMode="External"/><Relationship Id="rId76" Type="http://schemas.openxmlformats.org/officeDocument/2006/relationships/hyperlink" Target="https://bidassist.com/tender/detail/05e275d4-8208-4ddb-a1c8-1542d0a092b5?utm_source=BAS-Registered&amp;amp;utm_campaign=emailtenderlist&amp;amp;utm_content=05e275d4-8208-4ddb-a1c8-1542d0a092b5&amp;amp;utm_medium=email&amp;amp;utm-term=2026-03-05-09-31-38" TargetMode="External"/><Relationship Id="rId97" Type="http://schemas.openxmlformats.org/officeDocument/2006/relationships/hyperlink" Target="https://bidassist.com/tender/detail/89181082-462d-4eff-a270-74fe6a4187fb?utm_source=BAS-Registered&amp;amp;utm_campaign=emailtenderlist&amp;amp;utm_content=89181082-462d-4eff-a270-74fe6a4187fb&amp;amp;utm_medium=email&amp;amp;utm-term=2026-03-05-09-31-38" TargetMode="External"/><Relationship Id="rId120" Type="http://schemas.openxmlformats.org/officeDocument/2006/relationships/hyperlink" Target="https://bidassist.com/tender/detail/50e0c835-b322-4c81-9522-02bf62bc45bb?utm_source=BAS-Registered&amp;amp;utm_campaign=emailtenderlist&amp;amp;utm_content=50e0c835-b322-4c81-9522-02bf62bc45bb&amp;amp;utm_medium=email&amp;amp;utm-term=2026-03-05-09-31-38" TargetMode="External"/><Relationship Id="rId141" Type="http://schemas.openxmlformats.org/officeDocument/2006/relationships/hyperlink" Target="https://bidassist.com/tender/detail/98939d06-ea7c-4fa9-81cd-27914b24716c?utm_source=BAS-Registered&amp;amp;utm_campaign=emailtenderlist&amp;amp;utm_content=98939d06-ea7c-4fa9-81cd-27914b24716c&amp;amp;utm_medium=email&amp;amp;utm-term=2026-03-05-09-31-38" TargetMode="External"/><Relationship Id="rId7" Type="http://schemas.openxmlformats.org/officeDocument/2006/relationships/hyperlink" Target="https://bidassist.com/tender/detail/0e490f91-0165-4384-8902-538550a6e0bc?utm_source=BAS-Registered&amp;amp;utm_campaign=emailtenderlist&amp;amp;utm_content=0e490f91-0165-4384-8902-538550a6e0bc&amp;amp;utm_medium=email&amp;amp;utm-term=2026-03-05-09-31-38" TargetMode="External"/><Relationship Id="rId162" Type="http://schemas.openxmlformats.org/officeDocument/2006/relationships/hyperlink" Target="https://bidassist.com/tender/detail/d5dd9cd0-af42-4a51-99c0-bd1ce40cb404?utm_source=BAS-Registered&amp;amp;utm_campaign=emailtenderlist&amp;amp;utm_content=d5dd9cd0-af42-4a51-99c0-bd1ce40cb404&amp;amp;utm_medium=email&amp;amp;utm-term=2026-03-05-09-31-38" TargetMode="External"/><Relationship Id="rId183" Type="http://schemas.openxmlformats.org/officeDocument/2006/relationships/hyperlink" Target="https://bidassist.com/tender/detail/a66f163e-d115-4582-9e37-ae4f69341e5d?utm_source=BAS-Registered&amp;amp;utm_campaign=emailtenderlist&amp;amp;utm_content=a66f163e-d115-4582-9e37-ae4f69341e5d&amp;amp;utm_medium=email&amp;amp;utm-term=2026-03-05-09-31-38" TargetMode="External"/><Relationship Id="rId218" Type="http://schemas.openxmlformats.org/officeDocument/2006/relationships/hyperlink" Target="https://bidassist.com/tender/detail/4b259ffc-8bb9-48fb-a1d0-7f806cc3ea04?utm_source=BAS-Registered&amp;amp;utm_campaign=emailtenderlist&amp;amp;utm_content=4b259ffc-8bb9-48fb-a1d0-7f806cc3ea04&amp;amp;utm_medium=email&amp;amp;utm-term=2026-03-05-09-31-38" TargetMode="External"/><Relationship Id="rId239" Type="http://schemas.openxmlformats.org/officeDocument/2006/relationships/hyperlink" Target="https://bidassist.com/tender/detail/9b1f3b40-0ffb-4b0e-9b35-f78b913cc9d8?utm_source=BAS-Registered&amp;amp;utm_campaign=emailtenderlist&amp;amp;utm_content=9b1f3b40-0ffb-4b0e-9b35-f78b913cc9d8&amp;amp;utm_medium=email&amp;amp;utm-term=2026-03-05-09-31-38" TargetMode="External"/><Relationship Id="rId250" Type="http://schemas.openxmlformats.org/officeDocument/2006/relationships/hyperlink" Target="https://bidassist.com/tender/detail/822cba00-6ad5-4574-894b-c91b6da9c4eb?utm_source=BAS-Registered&amp;amp;utm_campaign=emailtenderlist&amp;amp;utm_content=822cba00-6ad5-4574-894b-c91b6da9c4eb&amp;amp;utm_medium=email&amp;amp;utm-term=2026-03-05-09-31-38" TargetMode="External"/><Relationship Id="rId24" Type="http://schemas.openxmlformats.org/officeDocument/2006/relationships/hyperlink" Target="https://bidassist.com/tender/detail/6f5cf516-b724-4e4d-836c-d38742ca3388?utm_source=BAS-Registered&amp;amp;utm_campaign=emailtenderlist&amp;amp;utm_content=6f5cf516-b724-4e4d-836c-d38742ca3388&amp;amp;utm_medium=email&amp;amp;utm-term=2026-03-05-09-31-38" TargetMode="External"/><Relationship Id="rId45" Type="http://schemas.openxmlformats.org/officeDocument/2006/relationships/hyperlink" Target="https://bidassist.com/tender/detail/1146d680-f161-4da4-b31f-680ae90be480?utm_source=BAS-Registered&amp;amp;utm_campaign=emailtenderlist&amp;amp;utm_content=1146d680-f161-4da4-b31f-680ae90be480&amp;amp;utm_medium=email&amp;amp;utm-term=2026-03-05-09-31-38" TargetMode="External"/><Relationship Id="rId66" Type="http://schemas.openxmlformats.org/officeDocument/2006/relationships/hyperlink" Target="https://bidassist.com/tender/detail/ef4b4bdf-dd6c-47ef-9557-13dc2da91c9f?utm_source=BAS-Registered&amp;amp;utm_campaign=emailtenderlist&amp;amp;utm_content=ef4b4bdf-dd6c-47ef-9557-13dc2da91c9f&amp;amp;utm_medium=email&amp;amp;utm-term=2026-03-05-09-31-38" TargetMode="External"/><Relationship Id="rId87" Type="http://schemas.openxmlformats.org/officeDocument/2006/relationships/hyperlink" Target="https://bidassist.com/tender/detail/510ffb93-2e76-47fc-bce1-cc44bcc48752?utm_source=BAS-Registered&amp;amp;utm_campaign=emailtenderlist&amp;amp;utm_content=510ffb93-2e76-47fc-bce1-cc44bcc48752&amp;amp;utm_medium=email&amp;amp;utm-term=2026-03-05-09-31-38" TargetMode="External"/><Relationship Id="rId110" Type="http://schemas.openxmlformats.org/officeDocument/2006/relationships/hyperlink" Target="https://bidassist.com/tender/detail/0a54878b-afb1-4658-b0e0-c0d0c1ce6691?utm_source=BAS-Registered&amp;amp;utm_campaign=emailtenderlist&amp;amp;utm_content=0a54878b-afb1-4658-b0e0-c0d0c1ce6691&amp;amp;utm_medium=email&amp;amp;utm-term=2026-03-05-09-31-38" TargetMode="External"/><Relationship Id="rId131" Type="http://schemas.openxmlformats.org/officeDocument/2006/relationships/hyperlink" Target="https://bidassist.com/tender/detail/c1d6720c-a75b-4bde-90a9-96d19577598c?utm_source=BAS-Registered&amp;amp;utm_campaign=emailtenderlist&amp;amp;utm_content=c1d6720c-a75b-4bde-90a9-96d19577598c&amp;amp;utm_medium=email&amp;amp;utm-term=2026-03-05-09-31-38" TargetMode="External"/><Relationship Id="rId152" Type="http://schemas.openxmlformats.org/officeDocument/2006/relationships/hyperlink" Target="https://bidassist.com/tender/detail/75227f9f-a93d-4dcd-8784-4b8a45fa546d?utm_source=BAS-Registered&amp;amp;utm_campaign=emailtenderlist&amp;amp;utm_content=75227f9f-a93d-4dcd-8784-4b8a45fa546d&amp;amp;utm_medium=email&amp;amp;utm-term=2026-03-05-09-31-38" TargetMode="External"/><Relationship Id="rId173" Type="http://schemas.openxmlformats.org/officeDocument/2006/relationships/hyperlink" Target="https://bidassist.com/tender/detail/534913e9-157e-44b7-a72c-c339da2710d1?utm_source=BAS-Registered&amp;amp;utm_campaign=emailtenderlist&amp;amp;utm_content=534913e9-157e-44b7-a72c-c339da2710d1&amp;amp;utm_medium=email&amp;amp;utm-term=2026-03-05-09-31-38" TargetMode="External"/><Relationship Id="rId194" Type="http://schemas.openxmlformats.org/officeDocument/2006/relationships/hyperlink" Target="https://bidassist.com/tender/detail/b56d5130-ab2a-4b2d-adf2-1fa8dc0239aa?utm_source=BAS-Registered&amp;amp;utm_campaign=emailtenderlist&amp;amp;utm_content=b56d5130-ab2a-4b2d-adf2-1fa8dc0239aa&amp;amp;utm_medium=email&amp;amp;utm-term=2026-03-05-09-31-38" TargetMode="External"/><Relationship Id="rId208" Type="http://schemas.openxmlformats.org/officeDocument/2006/relationships/hyperlink" Target="https://bidassist.com/tender/detail/9f3ad24f-f3d0-4b45-a50f-775eb277bf7c?utm_source=BAS-Registered&amp;amp;utm_campaign=emailtenderlist&amp;amp;utm_content=9f3ad24f-f3d0-4b45-a50f-775eb277bf7c&amp;amp;utm_medium=email&amp;amp;utm-term=2026-03-05-09-31-38" TargetMode="External"/><Relationship Id="rId229" Type="http://schemas.openxmlformats.org/officeDocument/2006/relationships/hyperlink" Target="https://bidassist.com/tender/detail/7067ae9d-31ee-4747-8ffe-32319203dc0d?utm_source=BAS-Registered&amp;amp;utm_campaign=emailtenderlist&amp;amp;utm_content=7067ae9d-31ee-4747-8ffe-32319203dc0d&amp;amp;utm_medium=email&amp;amp;utm-term=2026-03-05-09-31-38" TargetMode="External"/><Relationship Id="rId240" Type="http://schemas.openxmlformats.org/officeDocument/2006/relationships/hyperlink" Target="https://bidassist.com/tender/detail/a58ca4b7-751b-4555-8dca-49872ce4387b?utm_source=BAS-Registered&amp;amp;utm_campaign=emailtenderlist&amp;amp;utm_content=a58ca4b7-751b-4555-8dca-49872ce4387b&amp;amp;utm_medium=email&amp;amp;utm-term=2026-03-05-09-31-38" TargetMode="External"/><Relationship Id="rId14" Type="http://schemas.openxmlformats.org/officeDocument/2006/relationships/hyperlink" Target="https://bidassist.com/tender/detail/e0b103fa-6352-4607-87ae-c2f473731a46?utm_source=BAS-Registered&amp;amp;utm_campaign=emailtenderlist&amp;amp;utm_content=e0b103fa-6352-4607-87ae-c2f473731a46&amp;amp;utm_medium=email&amp;amp;utm-term=2026-03-05-09-31-38" TargetMode="External"/><Relationship Id="rId35" Type="http://schemas.openxmlformats.org/officeDocument/2006/relationships/hyperlink" Target="https://bidassist.com/tender/detail/2d090887-06ad-494a-851c-02cd71a5bd85?utm_source=BAS-Registered&amp;amp;utm_campaign=emailtenderlist&amp;amp;utm_content=2d090887-06ad-494a-851c-02cd71a5bd85&amp;amp;utm_medium=email&amp;amp;utm-term=2026-03-05-09-31-38" TargetMode="External"/><Relationship Id="rId56" Type="http://schemas.openxmlformats.org/officeDocument/2006/relationships/hyperlink" Target="https://bidassist.com/tender/detail/9040b957-653b-4df3-8b29-910a2f5fdf94?utm_source=BAS-Registered&amp;amp;utm_campaign=emailtenderlist&amp;amp;utm_content=9040b957-653b-4df3-8b29-910a2f5fdf94&amp;amp;utm_medium=email&amp;amp;utm-term=2026-03-05-09-31-38" TargetMode="External"/><Relationship Id="rId77" Type="http://schemas.openxmlformats.org/officeDocument/2006/relationships/hyperlink" Target="https://bidassist.com/tender/detail/0bcb0bd9-b28b-48a5-b2ce-71e5eb4b4926?utm_source=BAS-Registered&amp;amp;utm_campaign=emailtenderlist&amp;amp;utm_content=0bcb0bd9-b28b-48a5-b2ce-71e5eb4b4926&amp;amp;utm_medium=email&amp;amp;utm-term=2026-03-05-09-31-38" TargetMode="External"/><Relationship Id="rId100" Type="http://schemas.openxmlformats.org/officeDocument/2006/relationships/hyperlink" Target="https://bidassist.com/tender/detail/2d84508c-d1fa-4e3e-b2b3-61461fefe902?utm_source=BAS-Registered&amp;amp;utm_campaign=emailtenderlist&amp;amp;utm_content=2d84508c-d1fa-4e3e-b2b3-61461fefe902&amp;amp;utm_medium=email&amp;amp;utm-term=2026-03-05-09-31-38" TargetMode="External"/><Relationship Id="rId8" Type="http://schemas.openxmlformats.org/officeDocument/2006/relationships/hyperlink" Target="https://bidassist.com/tender/detail/0e563e5f-07ef-4da0-a681-7e5f2fb6be9c?utm_source=BAS-Registered&amp;amp;utm_campaign=emailtenderlist&amp;amp;utm_content=0e563e5f-07ef-4da0-a681-7e5f2fb6be9c&amp;amp;utm_medium=email&amp;amp;utm-term=2026-03-05-09-31-38" TargetMode="External"/><Relationship Id="rId98" Type="http://schemas.openxmlformats.org/officeDocument/2006/relationships/hyperlink" Target="https://bidassist.com/tender/detail/5198cab1-bbde-4253-88d4-f305b3c76e2f?utm_source=BAS-Registered&amp;amp;utm_campaign=emailtenderlist&amp;amp;utm_content=5198cab1-bbde-4253-88d4-f305b3c76e2f&amp;amp;utm_medium=email&amp;amp;utm-term=2026-03-05-09-31-38" TargetMode="External"/><Relationship Id="rId121" Type="http://schemas.openxmlformats.org/officeDocument/2006/relationships/hyperlink" Target="https://bidassist.com/tender/detail/5cb11bc1-d6d7-4fae-bf58-83857153bcdf?utm_source=BAS-Registered&amp;amp;utm_campaign=emailtenderlist&amp;amp;utm_content=5cb11bc1-d6d7-4fae-bf58-83857153bcdf&amp;amp;utm_medium=email&amp;amp;utm-term=2026-03-05-09-31-38" TargetMode="External"/><Relationship Id="rId142" Type="http://schemas.openxmlformats.org/officeDocument/2006/relationships/hyperlink" Target="https://bidassist.com/tender/detail/047e95a5-ade6-462d-907b-b8a311a642c5?utm_source=BAS-Registered&amp;amp;utm_campaign=emailtenderlist&amp;amp;utm_content=047e95a5-ade6-462d-907b-b8a311a642c5&amp;amp;utm_medium=email&amp;amp;utm-term=2026-03-05-09-31-38" TargetMode="External"/><Relationship Id="rId163" Type="http://schemas.openxmlformats.org/officeDocument/2006/relationships/hyperlink" Target="https://bidassist.com/tender/detail/e8e088f8-6ce6-4b05-b530-ad8976b6bffe?utm_source=BAS-Registered&amp;amp;utm_campaign=emailtenderlist&amp;amp;utm_content=e8e088f8-6ce6-4b05-b530-ad8976b6bffe&amp;amp;utm_medium=email&amp;amp;utm-term=2026-03-05-09-31-38" TargetMode="External"/><Relationship Id="rId184" Type="http://schemas.openxmlformats.org/officeDocument/2006/relationships/hyperlink" Target="https://bidassist.com/tender/detail/031d44f1-4291-4648-800a-dea23a2d0b39?utm_source=BAS-Registered&amp;amp;utm_campaign=emailtenderlist&amp;amp;utm_content=031d44f1-4291-4648-800a-dea23a2d0b39&amp;amp;utm_medium=email&amp;amp;utm-term=2026-03-05-09-31-38" TargetMode="External"/><Relationship Id="rId219" Type="http://schemas.openxmlformats.org/officeDocument/2006/relationships/hyperlink" Target="https://bidassist.com/tender/detail/6d7b2228-bc76-464b-b3fe-a2acccd713f8?utm_source=BAS-Registered&amp;amp;utm_campaign=emailtenderlist&amp;amp;utm_content=6d7b2228-bc76-464b-b3fe-a2acccd713f8&amp;amp;utm_medium=email&amp;amp;utm-term=2026-03-05-09-31-38" TargetMode="External"/><Relationship Id="rId230" Type="http://schemas.openxmlformats.org/officeDocument/2006/relationships/hyperlink" Target="https://bidassist.com/tender/detail/75c27742-def1-4637-989e-eaf5e74dea03?utm_source=BAS-Registered&amp;amp;utm_campaign=emailtenderlist&amp;amp;utm_content=75c27742-def1-4637-989e-eaf5e74dea03&amp;amp;utm_medium=email&amp;amp;utm-term=2026-03-05-09-31-38" TargetMode="External"/><Relationship Id="rId251" Type="http://schemas.openxmlformats.org/officeDocument/2006/relationships/hyperlink" Target="https://bidassist.com/tender/detail/82ca9449-b1c3-4741-814e-3bdcdd15679b?utm_source=BAS-Registered&amp;amp;utm_campaign=emailtenderlist&amp;amp;utm_content=82ca9449-b1c3-4741-814e-3bdcdd15679b&amp;amp;utm_medium=email&amp;amp;utm-term=2026-03-05-09-31-38" TargetMode="External"/><Relationship Id="rId25" Type="http://schemas.openxmlformats.org/officeDocument/2006/relationships/hyperlink" Target="https://bidassist.com/tender/detail/99861088-9985-4dd4-b498-16eb6f87c758?utm_source=BAS-Registered&amp;amp;utm_campaign=emailtenderlist&amp;amp;utm_content=99861088-9985-4dd4-b498-16eb6f87c758&amp;amp;utm_medium=email&amp;amp;utm-term=2026-03-05-09-31-38" TargetMode="External"/><Relationship Id="rId46" Type="http://schemas.openxmlformats.org/officeDocument/2006/relationships/hyperlink" Target="https://bidassist.com/tender/detail/15ea1a4e-df6a-4fa3-b871-9d8f9df58aa2?utm_source=BAS-Registered&amp;amp;utm_campaign=emailtenderlist&amp;amp;utm_content=15ea1a4e-df6a-4fa3-b871-9d8f9df58aa2&amp;amp;utm_medium=email&amp;amp;utm-term=2026-03-05-09-31-38" TargetMode="External"/><Relationship Id="rId67" Type="http://schemas.openxmlformats.org/officeDocument/2006/relationships/hyperlink" Target="https://bidassist.com/tender/detail/f211cc27-2639-4b29-9577-cf1e45aff112?utm_source=BAS-Registered&amp;amp;utm_campaign=emailtenderlist&amp;amp;utm_content=f211cc27-2639-4b29-9577-cf1e45aff112&amp;amp;utm_medium=email&amp;amp;utm-term=2026-03-05-09-31-38" TargetMode="External"/><Relationship Id="rId88" Type="http://schemas.openxmlformats.org/officeDocument/2006/relationships/hyperlink" Target="https://bidassist.com/tender/detail/5203dc6f-d026-471c-a3f6-3b52431023f0?utm_source=BAS-Registered&amp;amp;utm_campaign=emailtenderlist&amp;amp;utm_content=5203dc6f-d026-471c-a3f6-3b52431023f0&amp;amp;utm_medium=email&amp;amp;utm-term=2026-03-05-09-31-38" TargetMode="External"/><Relationship Id="rId111" Type="http://schemas.openxmlformats.org/officeDocument/2006/relationships/hyperlink" Target="https://bidassist.com/tender/detail/0eff8f48-afec-4773-a2a7-bc204bed32a1?utm_source=BAS-Registered&amp;amp;utm_campaign=emailtenderlist&amp;amp;utm_content=0eff8f48-afec-4773-a2a7-bc204bed32a1&amp;amp;utm_medium=email&amp;amp;utm-term=2026-03-05-09-31-38" TargetMode="External"/><Relationship Id="rId132" Type="http://schemas.openxmlformats.org/officeDocument/2006/relationships/hyperlink" Target="https://bidassist.com/tender/detail/e886069c-de13-4518-8fe6-cbb4460829b9?utm_source=BAS-Registered&amp;amp;utm_campaign=emailtenderlist&amp;amp;utm_content=e886069c-de13-4518-8fe6-cbb4460829b9&amp;amp;utm_medium=email&amp;amp;utm-term=2026-03-05-09-31-38" TargetMode="External"/><Relationship Id="rId153" Type="http://schemas.openxmlformats.org/officeDocument/2006/relationships/hyperlink" Target="https://bidassist.com/tender/detail/7bc7e974-ac6b-41c1-b5d9-3b0d0d1ce17e?utm_source=BAS-Registered&amp;amp;utm_campaign=emailtenderlist&amp;amp;utm_content=7bc7e974-ac6b-41c1-b5d9-3b0d0d1ce17e&amp;amp;utm_medium=email&amp;amp;utm-term=2026-03-05-09-31-38" TargetMode="External"/><Relationship Id="rId174" Type="http://schemas.openxmlformats.org/officeDocument/2006/relationships/hyperlink" Target="https://bidassist.com/tender/detail/61e76d70-bea2-4cc7-88d2-43a9c9f4cebb?utm_source=BAS-Registered&amp;amp;utm_campaign=emailtenderlist&amp;amp;utm_content=61e76d70-bea2-4cc7-88d2-43a9c9f4cebb&amp;amp;utm_medium=email&amp;amp;utm-term=2026-03-05-09-31-38" TargetMode="External"/><Relationship Id="rId195" Type="http://schemas.openxmlformats.org/officeDocument/2006/relationships/hyperlink" Target="https://bidassist.com/tender/detail/bcc3fe00-7774-4b0b-b191-0d7116c3314b?utm_source=BAS-Registered&amp;amp;utm_campaign=emailtenderlist&amp;amp;utm_content=bcc3fe00-7774-4b0b-b191-0d7116c3314b&amp;amp;utm_medium=email&amp;amp;utm-term=2026-03-05-09-31-38" TargetMode="External"/><Relationship Id="rId209" Type="http://schemas.openxmlformats.org/officeDocument/2006/relationships/hyperlink" Target="https://bidassist.com/tender/detail/ca13b9ee-ad13-4359-bada-7f1d315e4b03?utm_source=BAS-Registered&amp;amp;utm_campaign=emailtenderlist&amp;amp;utm_content=ca13b9ee-ad13-4359-bada-7f1d315e4b03&amp;amp;utm_medium=email&amp;amp;utm-term=2026-03-05-09-31-38" TargetMode="External"/><Relationship Id="rId220" Type="http://schemas.openxmlformats.org/officeDocument/2006/relationships/hyperlink" Target="https://bidassist.com/tender/detail/75f454b1-c8c0-41c9-9132-3bb738191b2c?utm_source=BAS-Registered&amp;amp;utm_campaign=emailtenderlist&amp;amp;utm_content=75f454b1-c8c0-41c9-9132-3bb738191b2c&amp;amp;utm_medium=email&amp;amp;utm-term=2026-03-05-09-31-38" TargetMode="External"/><Relationship Id="rId241" Type="http://schemas.openxmlformats.org/officeDocument/2006/relationships/hyperlink" Target="https://bidassist.com/tender/detail/6c1a3803-876f-43c1-9f8a-09d423e5e128?utm_source=BAS-Registered&amp;amp;utm_campaign=emailtenderlist&amp;amp;utm_content=6c1a3803-876f-43c1-9f8a-09d423e5e128&amp;amp;utm_medium=email&amp;amp;utm-term=2026-03-05-09-31-38" TargetMode="External"/><Relationship Id="rId15" Type="http://schemas.openxmlformats.org/officeDocument/2006/relationships/hyperlink" Target="https://bidassist.com/tender/detail/ebf3be57-ef67-4fa1-8bda-db8fdd025ae9?utm_source=BAS-Registered&amp;amp;utm_campaign=emailtenderlist&amp;amp;utm_content=ebf3be57-ef67-4fa1-8bda-db8fdd025ae9&amp;amp;utm_medium=email&amp;amp;utm-term=2026-03-05-09-31-38" TargetMode="External"/><Relationship Id="rId36" Type="http://schemas.openxmlformats.org/officeDocument/2006/relationships/hyperlink" Target="https://bidassist.com/tender/detail/3c86d9d3-8582-4eaf-b207-4e6f403bbcd7?utm_source=BAS-Registered&amp;amp;utm_campaign=emailtenderlist&amp;amp;utm_content=3c86d9d3-8582-4eaf-b207-4e6f403bbcd7&amp;amp;utm_medium=email&amp;amp;utm-term=2026-03-05-09-31-38" TargetMode="External"/><Relationship Id="rId57" Type="http://schemas.openxmlformats.org/officeDocument/2006/relationships/hyperlink" Target="https://bidassist.com/tender/detail/947b8e8e-b933-4e09-a1d7-1439da5a7f77?utm_source=BAS-Registered&amp;amp;utm_campaign=emailtenderlist&amp;amp;utm_content=947b8e8e-b933-4e09-a1d7-1439da5a7f77&amp;amp;utm_medium=email&amp;amp;utm-term=2026-03-05-09-31-38" TargetMode="External"/><Relationship Id="rId78" Type="http://schemas.openxmlformats.org/officeDocument/2006/relationships/hyperlink" Target="https://bidassist.com/tender/detail/1d7d358e-601c-4fb3-a39f-68c83c3ebf2b?utm_source=BAS-Registered&amp;amp;utm_campaign=emailtenderlist&amp;amp;utm_content=1d7d358e-601c-4fb3-a39f-68c83c3ebf2b&amp;amp;utm_medium=email&amp;amp;utm-term=2026-03-05-09-31-38" TargetMode="External"/><Relationship Id="rId99" Type="http://schemas.openxmlformats.org/officeDocument/2006/relationships/hyperlink" Target="https://bidassist.com/tender/detail/18df890d-d5fc-4990-9767-3c7a2d07a19f?utm_source=BAS-Registered&amp;amp;utm_campaign=emailtenderlist&amp;amp;utm_content=18df890d-d5fc-4990-9767-3c7a2d07a19f&amp;amp;utm_medium=email&amp;amp;utm-term=2026-03-05-09-31-38" TargetMode="External"/><Relationship Id="rId101" Type="http://schemas.openxmlformats.org/officeDocument/2006/relationships/hyperlink" Target="https://bidassist.com/tender/detail/3024cefe-ee92-42d6-9acc-fa686a7dae47?utm_source=BAS-Registered&amp;amp;utm_campaign=emailtenderlist&amp;amp;utm_content=3024cefe-ee92-42d6-9acc-fa686a7dae47&amp;amp;utm_medium=email&amp;amp;utm-term=2026-03-05-09-31-38" TargetMode="External"/><Relationship Id="rId122" Type="http://schemas.openxmlformats.org/officeDocument/2006/relationships/hyperlink" Target="https://bidassist.com/tender/detail/5e75ba9e-615f-46db-95d7-b7b1be00ff5f?utm_source=BAS-Registered&amp;amp;utm_campaign=emailtenderlist&amp;amp;utm_content=5e75ba9e-615f-46db-95d7-b7b1be00ff5f&amp;amp;utm_medium=email&amp;amp;utm-term=2026-03-05-09-31-38" TargetMode="External"/><Relationship Id="rId143" Type="http://schemas.openxmlformats.org/officeDocument/2006/relationships/hyperlink" Target="https://bidassist.com/tender/detail/074ceda8-3658-4183-a8a7-62723eca78e4?utm_source=BAS-Registered&amp;amp;utm_campaign=emailtenderlist&amp;amp;utm_content=074ceda8-3658-4183-a8a7-62723eca78e4&amp;amp;utm_medium=email&amp;amp;utm-term=2026-03-05-09-31-38" TargetMode="External"/><Relationship Id="rId164" Type="http://schemas.openxmlformats.org/officeDocument/2006/relationships/hyperlink" Target="https://bidassist.com/tender/detail/5c27414a-b0c6-4511-aab3-b00f348b3868?utm_source=BAS-Registered&amp;amp;utm_campaign=emailtenderlist&amp;amp;utm_content=5c27414a-b0c6-4511-aab3-b00f348b3868&amp;amp;utm_medium=email&amp;amp;utm-term=2026-03-05-09-31-38" TargetMode="External"/><Relationship Id="rId185" Type="http://schemas.openxmlformats.org/officeDocument/2006/relationships/hyperlink" Target="https://bidassist.com/tender/detail/0f0ca6dd-ae96-4e30-9942-1b22529d9a03?utm_source=BAS-Registered&amp;amp;utm_campaign=emailtenderlist&amp;amp;utm_content=0f0ca6dd-ae96-4e30-9942-1b22529d9a03&amp;amp;utm_medium=email&amp;amp;utm-term=2026-03-05-09-31-38" TargetMode="External"/><Relationship Id="rId9" Type="http://schemas.openxmlformats.org/officeDocument/2006/relationships/hyperlink" Target="https://bidassist.com/tender/detail/0e9629a8-95f9-4421-976e-c57d8115ccd3?utm_source=BAS-Registered&amp;amp;utm_campaign=emailtenderlist&amp;amp;utm_content=0e9629a8-95f9-4421-976e-c57d8115ccd3&amp;amp;utm_medium=email&amp;amp;utm-term=2026-03-05-09-31-38" TargetMode="External"/><Relationship Id="rId210" Type="http://schemas.openxmlformats.org/officeDocument/2006/relationships/hyperlink" Target="https://bidassist.com/tender/detail/b229e1aa-9f34-4713-a0bb-eae7273104f9?utm_source=BAS-Registered&amp;amp;utm_campaign=emailtenderlist&amp;amp;utm_content=b229e1aa-9f34-4713-a0bb-eae7273104f9&amp;amp;utm_medium=email&amp;amp;utm-term=2026-03-05-09-31-38" TargetMode="External"/><Relationship Id="rId26" Type="http://schemas.openxmlformats.org/officeDocument/2006/relationships/hyperlink" Target="https://bidassist.com/tender/detail/ef9a7511-91df-4f8a-bd35-6c2c58b8f7e1?utm_source=BAS-Registered&amp;amp;utm_campaign=emailtenderlist&amp;amp;utm_content=ef9a7511-91df-4f8a-bd35-6c2c58b8f7e1&amp;amp;utm_medium=email&amp;amp;utm-term=2026-03-05-09-31-38" TargetMode="External"/><Relationship Id="rId231" Type="http://schemas.openxmlformats.org/officeDocument/2006/relationships/hyperlink" Target="https://bidassist.com/tender/detail/79a38066-cd01-4356-9e4f-cd7eeddf4e92?utm_source=BAS-Registered&amp;amp;utm_campaign=emailtenderlist&amp;amp;utm_content=79a38066-cd01-4356-9e4f-cd7eeddf4e92&amp;amp;utm_medium=email&amp;amp;utm-term=2026-03-05-09-31-38" TargetMode="External"/><Relationship Id="rId252" Type="http://schemas.openxmlformats.org/officeDocument/2006/relationships/hyperlink" Target="https://bidassist.com/tender/detail/f879e870-cac0-42a7-9023-c835cf41d69a?utm_source=BAS-Registered&amp;amp;utm_campaign=emailtenderlist&amp;amp;utm_content=f879e870-cac0-42a7-9023-c835cf41d69a&amp;amp;utm_medium=email&amp;amp;utm-term=2026-03-05-09-31-38" TargetMode="External"/><Relationship Id="rId47" Type="http://schemas.openxmlformats.org/officeDocument/2006/relationships/hyperlink" Target="https://bidassist.com/tender/detail/2bc43426-675c-4e1a-a689-e872a5b7f677?utm_source=BAS-Registered&amp;amp;utm_campaign=emailtenderlist&amp;amp;utm_content=2bc43426-675c-4e1a-a689-e872a5b7f677&amp;amp;utm_medium=email&amp;amp;utm-term=2026-03-05-09-31-38" TargetMode="External"/><Relationship Id="rId68" Type="http://schemas.openxmlformats.org/officeDocument/2006/relationships/hyperlink" Target="https://bidassist.com/tender/detail/f348e694-6029-441e-b56c-63eabe88083c?utm_source=BAS-Registered&amp;amp;utm_campaign=emailtenderlist&amp;amp;utm_content=f348e694-6029-441e-b56c-63eabe88083c&amp;amp;utm_medium=email&amp;amp;utm-term=2026-03-05-09-31-38" TargetMode="External"/><Relationship Id="rId89" Type="http://schemas.openxmlformats.org/officeDocument/2006/relationships/hyperlink" Target="https://bidassist.com/tender/detail/5a5dd73d-e7c3-488a-86b0-5dbbebeb4d0c?utm_source=BAS-Registered&amp;amp;utm_campaign=emailtenderlist&amp;amp;utm_content=5a5dd73d-e7c3-488a-86b0-5dbbebeb4d0c&amp;amp;utm_medium=email&amp;amp;utm-term=2026-03-05-09-31-38" TargetMode="External"/><Relationship Id="rId112" Type="http://schemas.openxmlformats.org/officeDocument/2006/relationships/hyperlink" Target="https://bidassist.com/tender/detail/1e29f1eb-94c4-4851-aa01-2852be94ef6b?utm_source=BAS-Registered&amp;amp;utm_campaign=emailtenderlist&amp;amp;utm_content=1e29f1eb-94c4-4851-aa01-2852be94ef6b&amp;amp;utm_medium=email&amp;amp;utm-term=2026-03-05-09-31-38" TargetMode="External"/><Relationship Id="rId133" Type="http://schemas.openxmlformats.org/officeDocument/2006/relationships/hyperlink" Target="https://bidassist.com/tender/detail/ea09311c-06ef-4bff-af5a-4d31a9c68f1e?utm_source=BAS-Registered&amp;amp;utm_campaign=emailtenderlist&amp;amp;utm_content=ea09311c-06ef-4bff-af5a-4d31a9c68f1e&amp;amp;utm_medium=email&amp;amp;utm-term=2026-03-05-09-31-38" TargetMode="External"/><Relationship Id="rId154" Type="http://schemas.openxmlformats.org/officeDocument/2006/relationships/hyperlink" Target="https://bidassist.com/tender/detail/778aa859-1c05-4d48-a7e9-74de6625c004?utm_source=BAS-Registered&amp;amp;utm_campaign=emailtenderlist&amp;amp;utm_content=778aa859-1c05-4d48-a7e9-74de6625c004&amp;amp;utm_medium=email&amp;amp;utm-term=2026-03-05-09-31-38" TargetMode="External"/><Relationship Id="rId175" Type="http://schemas.openxmlformats.org/officeDocument/2006/relationships/hyperlink" Target="https://bidassist.com/tender/detail/aca43724-5e00-4fd9-933d-46d45d1c298e?utm_source=BAS-Registered&amp;amp;utm_campaign=emailtenderlist&amp;amp;utm_content=aca43724-5e00-4fd9-933d-46d45d1c298e&amp;amp;utm_medium=email&amp;amp;utm-term=2026-03-05-09-31-38" TargetMode="External"/><Relationship Id="rId196" Type="http://schemas.openxmlformats.org/officeDocument/2006/relationships/hyperlink" Target="https://bidassist.com/tender/detail/bf4eb20e-8df6-4a5b-bb1c-96bac6842ec7?utm_source=BAS-Registered&amp;amp;utm_campaign=emailtenderlist&amp;amp;utm_content=bf4eb20e-8df6-4a5b-bb1c-96bac6842ec7&amp;amp;utm_medium=email&amp;amp;utm-term=2026-03-05-09-31-38" TargetMode="External"/><Relationship Id="rId200" Type="http://schemas.openxmlformats.org/officeDocument/2006/relationships/hyperlink" Target="https://bidassist.com/tender/detail/cf53f2b9-bf71-4b43-8c6c-0253125913c4?utm_source=BAS-Registered&amp;amp;utm_campaign=emailtenderlist&amp;amp;utm_content=cf53f2b9-bf71-4b43-8c6c-0253125913c4&amp;amp;utm_medium=email&amp;amp;utm-term=2026-03-05-09-31-38" TargetMode="External"/><Relationship Id="rId16" Type="http://schemas.openxmlformats.org/officeDocument/2006/relationships/hyperlink" Target="https://bidassist.com/tender/detail/ecd5fb37-c95f-47d6-9643-e68fe7a704b9?utm_source=BAS-Registered&amp;amp;utm_campaign=emailtenderlist&amp;amp;utm_content=ecd5fb37-c95f-47d6-9643-e68fe7a704b9&amp;amp;utm_medium=email&amp;amp;utm-term=2026-03-05-09-31-38" TargetMode="External"/><Relationship Id="rId221" Type="http://schemas.openxmlformats.org/officeDocument/2006/relationships/hyperlink" Target="https://bidassist.com/tender/detail/86f8d069-3035-4820-b2c7-924fe799c731?utm_source=BAS-Registered&amp;amp;utm_campaign=emailtenderlist&amp;amp;utm_content=86f8d069-3035-4820-b2c7-924fe799c731&amp;amp;utm_medium=email&amp;amp;utm-term=2026-03-05-09-31-38" TargetMode="External"/><Relationship Id="rId242" Type="http://schemas.openxmlformats.org/officeDocument/2006/relationships/hyperlink" Target="https://bidassist.com/tender/detail/6c4ca7a6-e586-4f88-8973-a771dec8f9d5?utm_source=BAS-Registered&amp;amp;utm_campaign=emailtenderlist&amp;amp;utm_content=6c4ca7a6-e586-4f88-8973-a771dec8f9d5&amp;amp;utm_medium=email&amp;amp;utm-term=2026-03-05-09-31-38" TargetMode="External"/><Relationship Id="rId37" Type="http://schemas.openxmlformats.org/officeDocument/2006/relationships/hyperlink" Target="https://bidassist.com/tender/detail/512fa753-d40d-4ed0-a7d0-7a33a95c543c?utm_source=BAS-Registered&amp;amp;utm_campaign=emailtenderlist&amp;amp;utm_content=512fa753-d40d-4ed0-a7d0-7a33a95c543c&amp;amp;utm_medium=email&amp;amp;utm-term=2026-03-05-09-31-38" TargetMode="External"/><Relationship Id="rId58" Type="http://schemas.openxmlformats.org/officeDocument/2006/relationships/hyperlink" Target="https://bidassist.com/tender/detail/98e6e1da-b77c-4ddf-9a20-4f2624b0ec48?utm_source=BAS-Registered&amp;amp;utm_campaign=emailtenderlist&amp;amp;utm_content=98e6e1da-b77c-4ddf-9a20-4f2624b0ec48&amp;amp;utm_medium=email&amp;amp;utm-term=2026-03-05-09-31-38" TargetMode="External"/><Relationship Id="rId79" Type="http://schemas.openxmlformats.org/officeDocument/2006/relationships/hyperlink" Target="https://bidassist.com/tender/detail/21f4e80f-af30-44e7-a487-2a898d8515ab?utm_source=BAS-Registered&amp;amp;utm_campaign=emailtenderlist&amp;amp;utm_content=21f4e80f-af30-44e7-a487-2a898d8515ab&amp;amp;utm_medium=email&amp;amp;utm-term=2026-03-05-09-31-38" TargetMode="External"/><Relationship Id="rId102" Type="http://schemas.openxmlformats.org/officeDocument/2006/relationships/hyperlink" Target="https://bidassist.com/tender/detail/36d65847-a8dc-4645-8a62-b32ea3193dd2?utm_source=BAS-Registered&amp;amp;utm_campaign=emailtenderlist&amp;amp;utm_content=36d65847-a8dc-4645-8a62-b32ea3193dd2&amp;amp;utm_medium=email&amp;amp;utm-term=2026-03-05-09-31-38" TargetMode="External"/><Relationship Id="rId123" Type="http://schemas.openxmlformats.org/officeDocument/2006/relationships/hyperlink" Target="https://bidassist.com/tender/detail/7de3661b-9e49-4a26-a24b-2068c0093a5d?utm_source=BAS-Registered&amp;amp;utm_campaign=emailtenderlist&amp;amp;utm_content=7de3661b-9e49-4a26-a24b-2068c0093a5d&amp;amp;utm_medium=email&amp;amp;utm-term=2026-03-05-09-31-38" TargetMode="External"/><Relationship Id="rId144" Type="http://schemas.openxmlformats.org/officeDocument/2006/relationships/hyperlink" Target="https://bidassist.com/tender/detail/132f07c1-22c5-4211-9e36-3c2ecc41ee43?utm_source=BAS-Registered&amp;amp;utm_campaign=emailtenderlist&amp;amp;utm_content=132f07c1-22c5-4211-9e36-3c2ecc41ee43&amp;amp;utm_medium=email&amp;amp;utm-term=2026-03-05-09-31-38" TargetMode="External"/><Relationship Id="rId90" Type="http://schemas.openxmlformats.org/officeDocument/2006/relationships/hyperlink" Target="https://bidassist.com/tender/detail/73a5e084-937e-4380-99d0-2abea1320ba9?utm_source=BAS-Registered&amp;amp;utm_campaign=emailtenderlist&amp;amp;utm_content=73a5e084-937e-4380-99d0-2abea1320ba9&amp;amp;utm_medium=email&amp;amp;utm-term=2026-03-05-09-31-38" TargetMode="External"/><Relationship Id="rId165" Type="http://schemas.openxmlformats.org/officeDocument/2006/relationships/hyperlink" Target="https://bidassist.com/tender/detail/6e8d8b7e-7c19-4728-a801-78bfef99ea2c?utm_source=BAS-Registered&amp;amp;utm_campaign=emailtenderlist&amp;amp;utm_content=6e8d8b7e-7c19-4728-a801-78bfef99ea2c&amp;amp;utm_medium=email&amp;amp;utm-term=2026-03-05-09-31-38" TargetMode="External"/><Relationship Id="rId186" Type="http://schemas.openxmlformats.org/officeDocument/2006/relationships/hyperlink" Target="https://bidassist.com/tender/detail/122cc42e-d9d8-4c91-b1b1-cda2e2d7849d?utm_source=BAS-Registered&amp;amp;utm_campaign=emailtenderlist&amp;amp;utm_content=122cc42e-d9d8-4c91-b1b1-cda2e2d7849d&amp;amp;utm_medium=email&amp;amp;utm-term=2026-03-05-09-31-38" TargetMode="External"/><Relationship Id="rId211" Type="http://schemas.openxmlformats.org/officeDocument/2006/relationships/hyperlink" Target="https://bidassist.com/tender/detail/64b696d2-b1df-4cda-9119-1d21e284ba6b?utm_source=BAS-Registered&amp;amp;utm_campaign=emailtenderlist&amp;amp;utm_content=64b696d2-b1df-4cda-9119-1d21e284ba6b&amp;amp;utm_medium=email&amp;amp;utm-term=2026-03-05-09-31-38" TargetMode="External"/><Relationship Id="rId232" Type="http://schemas.openxmlformats.org/officeDocument/2006/relationships/hyperlink" Target="https://bidassist.com/tender/detail/7a22072b-f724-4ace-9531-5b8671c3b229?utm_source=BAS-Registered&amp;amp;utm_campaign=emailtenderlist&amp;amp;utm_content=7a22072b-f724-4ace-9531-5b8671c3b229&amp;amp;utm_medium=email&amp;amp;utm-term=2026-03-05-09-31-38" TargetMode="External"/><Relationship Id="rId253" Type="http://schemas.openxmlformats.org/officeDocument/2006/relationships/hyperlink" Target="https://bidassist.com/tender/detail/feda2782-0af6-4233-b86b-3ec917ef0806?utm_source=BAS-Registered&amp;amp;utm_campaign=emailtenderlist&amp;amp;utm_content=feda2782-0af6-4233-b86b-3ec917ef0806&amp;amp;utm_medium=email&amp;amp;utm-term=2026-03-05-09-31-38" TargetMode="External"/><Relationship Id="rId27" Type="http://schemas.openxmlformats.org/officeDocument/2006/relationships/hyperlink" Target="https://bidassist.com/tender/detail/0d53f6bc-c03a-414c-8842-10581d6b08b1?utm_source=BAS-Registered&amp;amp;utm_campaign=emailtenderlist&amp;amp;utm_content=0d53f6bc-c03a-414c-8842-10581d6b08b1&amp;amp;utm_medium=email&amp;amp;utm-term=2026-03-05-09-31-38" TargetMode="External"/><Relationship Id="rId48" Type="http://schemas.openxmlformats.org/officeDocument/2006/relationships/hyperlink" Target="https://bidassist.com/tender/detail/306b1194-9568-4f2f-86e1-fee502affb84?utm_source=BAS-Registered&amp;amp;utm_campaign=emailtenderlist&amp;amp;utm_content=306b1194-9568-4f2f-86e1-fee502affb84&amp;amp;utm_medium=email&amp;amp;utm-term=2026-03-05-09-31-38" TargetMode="External"/><Relationship Id="rId69" Type="http://schemas.openxmlformats.org/officeDocument/2006/relationships/hyperlink" Target="https://bidassist.com/tender/detail/fef9c192-fd54-4027-b32d-97b7fefe4e80?utm_source=BAS-Registered&amp;amp;utm_campaign=emailtenderlist&amp;amp;utm_content=fef9c192-fd54-4027-b32d-97b7fefe4e80&amp;amp;utm_medium=email&amp;amp;utm-term=2026-03-05-09-31-38" TargetMode="External"/><Relationship Id="rId113" Type="http://schemas.openxmlformats.org/officeDocument/2006/relationships/hyperlink" Target="https://bidassist.com/tender/detail/1fe53604-2208-4679-af4e-eb26b9dd29a6?utm_source=BAS-Registered&amp;amp;utm_campaign=emailtenderlist&amp;amp;utm_content=1fe53604-2208-4679-af4e-eb26b9dd29a6&amp;amp;utm_medium=email&amp;amp;utm-term=2026-03-05-09-31-38" TargetMode="External"/><Relationship Id="rId134" Type="http://schemas.openxmlformats.org/officeDocument/2006/relationships/hyperlink" Target="https://bidassist.com/tender/detail/f057b984-5fe7-477b-976c-19033c899201?utm_source=BAS-Registered&amp;amp;utm_campaign=emailtenderlist&amp;amp;utm_content=f057b984-5fe7-477b-976c-19033c899201&amp;amp;utm_medium=email&amp;amp;utm-term=2026-03-05-09-31-38" TargetMode="External"/><Relationship Id="rId80" Type="http://schemas.openxmlformats.org/officeDocument/2006/relationships/hyperlink" Target="https://bidassist.com/tender/detail/247dc291-7cc1-4b80-a391-a1a713affe25?utm_source=BAS-Registered&amp;amp;utm_campaign=emailtenderlist&amp;amp;utm_content=247dc291-7cc1-4b80-a391-a1a713affe25&amp;amp;utm_medium=email&amp;amp;utm-term=2026-03-05-09-31-38" TargetMode="External"/><Relationship Id="rId155" Type="http://schemas.openxmlformats.org/officeDocument/2006/relationships/hyperlink" Target="https://bidassist.com/tender/detail/8242f10a-3411-4e05-871f-b36b3741a432?utm_source=BAS-Registered&amp;amp;utm_campaign=emailtenderlist&amp;amp;utm_content=8242f10a-3411-4e05-871f-b36b3741a432&amp;amp;utm_medium=email&amp;amp;utm-term=2026-03-05-09-31-38" TargetMode="External"/><Relationship Id="rId176" Type="http://schemas.openxmlformats.org/officeDocument/2006/relationships/hyperlink" Target="https://bidassist.com/tender/detail/f6884c2a-08f1-4ac6-abae-f707dc5a072e?utm_source=BAS-Registered&amp;amp;utm_campaign=emailtenderlist&amp;amp;utm_content=f6884c2a-08f1-4ac6-abae-f707dc5a072e&amp;amp;utm_medium=email&amp;amp;utm-term=2026-03-05-09-31-38" TargetMode="External"/><Relationship Id="rId197" Type="http://schemas.openxmlformats.org/officeDocument/2006/relationships/hyperlink" Target="https://bidassist.com/tender/detail/c56476d0-68d6-4d1c-b10e-2b2d8abb759d?utm_source=BAS-Registered&amp;amp;utm_campaign=emailtenderlist&amp;amp;utm_content=c56476d0-68d6-4d1c-b10e-2b2d8abb759d&amp;amp;utm_medium=email&amp;amp;utm-term=2026-03-05-09-31-38" TargetMode="External"/><Relationship Id="rId201" Type="http://schemas.openxmlformats.org/officeDocument/2006/relationships/hyperlink" Target="https://bidassist.com/tender/detail/d2eec4e3-1c95-4fc7-816f-22905c8f59a9?utm_source=BAS-Registered&amp;amp;utm_campaign=emailtenderlist&amp;amp;utm_content=d2eec4e3-1c95-4fc7-816f-22905c8f59a9&amp;amp;utm_medium=email&amp;amp;utm-term=2026-03-05-09-31-38" TargetMode="External"/><Relationship Id="rId222" Type="http://schemas.openxmlformats.org/officeDocument/2006/relationships/hyperlink" Target="https://bidassist.com/tender/detail/3b42281e-066b-465a-a63a-0fb1dddb2f72?utm_source=BAS-Registered&amp;amp;utm_campaign=emailtenderlist&amp;amp;utm_content=3b42281e-066b-465a-a63a-0fb1dddb2f72&amp;amp;utm_medium=email&amp;amp;utm-term=2026-03-05-09-31-38" TargetMode="External"/><Relationship Id="rId243" Type="http://schemas.openxmlformats.org/officeDocument/2006/relationships/hyperlink" Target="https://bidassist.com/tender/detail/7758f159-7c3c-41e1-8df0-e7be1828ce25?utm_source=BAS-Registered&amp;amp;utm_campaign=emailtenderlist&amp;amp;utm_content=7758f159-7c3c-41e1-8df0-e7be1828ce25&amp;amp;utm_medium=email&amp;amp;utm-term=2026-03-05-09-31-38" TargetMode="External"/><Relationship Id="rId17" Type="http://schemas.openxmlformats.org/officeDocument/2006/relationships/hyperlink" Target="https://bidassist.com/tender/detail/0a126f04-91a1-4fb3-b43c-f6097e48fd44?utm_source=BAS-Registered&amp;amp;utm_campaign=emailtenderlist&amp;amp;utm_content=0a126f04-91a1-4fb3-b43c-f6097e48fd44&amp;amp;utm_medium=email&amp;amp;utm-term=2026-03-05-09-31-38" TargetMode="External"/><Relationship Id="rId38" Type="http://schemas.openxmlformats.org/officeDocument/2006/relationships/hyperlink" Target="https://bidassist.com/tender/detail/781c5ef3-4166-40ca-9670-258e129828fd?utm_source=BAS-Registered&amp;amp;utm_campaign=emailtenderlist&amp;amp;utm_content=781c5ef3-4166-40ca-9670-258e129828fd&amp;amp;utm_medium=email&amp;amp;utm-term=2026-03-05-09-31-38" TargetMode="External"/><Relationship Id="rId59" Type="http://schemas.openxmlformats.org/officeDocument/2006/relationships/hyperlink" Target="https://bidassist.com/tender/detail/be240a4d-8d69-4e49-bd0d-ade247065943?utm_source=BAS-Registered&amp;amp;utm_campaign=emailtenderlist&amp;amp;utm_content=be240a4d-8d69-4e49-bd0d-ade247065943&amp;amp;utm_medium=email&amp;amp;utm-term=2026-03-05-09-31-38" TargetMode="External"/><Relationship Id="rId103" Type="http://schemas.openxmlformats.org/officeDocument/2006/relationships/hyperlink" Target="https://bidassist.com/tender/detail/3ea8c57e-a31f-45df-9242-597a7982891d?utm_source=BAS-Registered&amp;amp;utm_campaign=emailtenderlist&amp;amp;utm_content=3ea8c57e-a31f-45df-9242-597a7982891d&amp;amp;utm_medium=email&amp;amp;utm-term=2026-03-05-09-31-38" TargetMode="External"/><Relationship Id="rId124" Type="http://schemas.openxmlformats.org/officeDocument/2006/relationships/hyperlink" Target="https://bidassist.com/tender/detail/7f98ebe9-a78d-430a-92f1-4a589b207fdf?utm_source=BAS-Registered&amp;amp;utm_campaign=emailtenderlist&amp;amp;utm_content=7f98ebe9-a78d-430a-92f1-4a589b207fdf&amp;amp;utm_medium=email&amp;amp;utm-term=2026-03-05-09-31-38" TargetMode="External"/><Relationship Id="rId70" Type="http://schemas.openxmlformats.org/officeDocument/2006/relationships/hyperlink" Target="https://bidassist.com/tender/detail/caaf3f11-7ad4-475c-879f-cf7907d4f46d?utm_source=BAS-Registered&amp;amp;utm_campaign=emailtenderlist&amp;amp;utm_content=caaf3f11-7ad4-475c-879f-cf7907d4f46d&amp;amp;utm_medium=email&amp;amp;utm-term=2026-03-05-09-31-38" TargetMode="External"/><Relationship Id="rId91" Type="http://schemas.openxmlformats.org/officeDocument/2006/relationships/hyperlink" Target="https://bidassist.com/tender/detail/7c3eef7b-4e73-4add-bf0f-82293285b26c?utm_source=BAS-Registered&amp;amp;utm_campaign=emailtenderlist&amp;amp;utm_content=7c3eef7b-4e73-4add-bf0f-82293285b26c&amp;amp;utm_medium=email&amp;amp;utm-term=2026-03-05-09-31-38" TargetMode="External"/><Relationship Id="rId145" Type="http://schemas.openxmlformats.org/officeDocument/2006/relationships/hyperlink" Target="https://bidassist.com/tender/detail/17a87a61-63d9-4700-802b-5ad819ca7e21?utm_source=BAS-Registered&amp;amp;utm_campaign=emailtenderlist&amp;amp;utm_content=17a87a61-63d9-4700-802b-5ad819ca7e21&amp;amp;utm_medium=email&amp;amp;utm-term=2026-03-05-09-31-38" TargetMode="External"/><Relationship Id="rId166" Type="http://schemas.openxmlformats.org/officeDocument/2006/relationships/hyperlink" Target="https://bidassist.com/tender/detail/3c49e615-f5f9-473b-8fd5-c02b6eec4f8b?utm_source=BAS-Registered&amp;amp;utm_campaign=emailtenderlist&amp;amp;utm_content=3c49e615-f5f9-473b-8fd5-c02b6eec4f8b&amp;amp;utm_medium=email&amp;amp;utm-term=2026-03-05-09-31-38" TargetMode="External"/><Relationship Id="rId187" Type="http://schemas.openxmlformats.org/officeDocument/2006/relationships/hyperlink" Target="https://bidassist.com/tender/detail/1338bd83-80fb-472a-8795-8a1b2711f283?utm_source=BAS-Registered&amp;amp;utm_campaign=emailtenderlist&amp;amp;utm_content=1338bd83-80fb-472a-8795-8a1b2711f283&amp;amp;utm_medium=email&amp;amp;utm-term=2026-03-05-09-31-38" TargetMode="External"/><Relationship Id="rId1" Type="http://schemas.openxmlformats.org/officeDocument/2006/relationships/hyperlink" Target="https://bidassist.com/tender/detail/2591039c-f9c4-412c-a07d-38c18ce0df75?utm_source=BAS-Registered&amp;amp;utm_campaign=emailtenderlist&amp;amp;utm_content=2591039c-f9c4-412c-a07d-38c18ce0df75&amp;amp;utm_medium=email&amp;amp;utm-term=2026-03-05-09-31-38" TargetMode="External"/><Relationship Id="rId212" Type="http://schemas.openxmlformats.org/officeDocument/2006/relationships/hyperlink" Target="https://bidassist.com/tender/detail/65e57649-88b8-4ff5-b7dc-b257a5cb8b19?utm_source=BAS-Registered&amp;amp;utm_campaign=emailtenderlist&amp;amp;utm_content=65e57649-88b8-4ff5-b7dc-b257a5cb8b19&amp;amp;utm_medium=email&amp;amp;utm-term=2026-03-05-09-31-38" TargetMode="External"/><Relationship Id="rId233" Type="http://schemas.openxmlformats.org/officeDocument/2006/relationships/hyperlink" Target="https://bidassist.com/tender/detail/8a348091-6983-44ee-998f-321eb99c919b?utm_source=BAS-Registered&amp;amp;utm_campaign=emailtenderlist&amp;amp;utm_content=8a348091-6983-44ee-998f-321eb99c919b&amp;amp;utm_medium=email&amp;amp;utm-term=2026-03-05-09-31-38" TargetMode="External"/><Relationship Id="rId254" Type="http://schemas.openxmlformats.org/officeDocument/2006/relationships/hyperlink" Target="https://bidassist.com/tender/detail/83a736b2-bfe3-4469-8715-ebe2fba5edad?utm_source=BAS-Registered&amp;amp;utm_campaign=emailtenderlist&amp;amp;utm_content=83a736b2-bfe3-4469-8715-ebe2fba5edad&amp;amp;utm_medium=email&amp;amp;utm-term=2026-03-05-09-31-38" TargetMode="External"/><Relationship Id="rId28" Type="http://schemas.openxmlformats.org/officeDocument/2006/relationships/hyperlink" Target="https://bidassist.com/tender/detail/151952a9-9e44-4b7b-b1c2-4943fea621f4?utm_source=BAS-Registered&amp;amp;utm_campaign=emailtenderlist&amp;amp;utm_content=151952a9-9e44-4b7b-b1c2-4943fea621f4&amp;amp;utm_medium=email&amp;amp;utm-term=2026-03-05-09-31-38" TargetMode="External"/><Relationship Id="rId49" Type="http://schemas.openxmlformats.org/officeDocument/2006/relationships/hyperlink" Target="https://bidassist.com/tender/detail/365ea6a0-4ffb-4c04-9ca5-73a9e9c18e75?utm_source=BAS-Registered&amp;amp;utm_campaign=emailtenderlist&amp;amp;utm_content=365ea6a0-4ffb-4c04-9ca5-73a9e9c18e75&amp;amp;utm_medium=email&amp;amp;utm-term=2026-03-05-09-31-38" TargetMode="External"/><Relationship Id="rId114" Type="http://schemas.openxmlformats.org/officeDocument/2006/relationships/hyperlink" Target="https://bidassist.com/tender/detail/227f9b30-0d29-4da6-aaf9-1f46aaebd88f?utm_source=BAS-Registered&amp;amp;utm_campaign=emailtenderlist&amp;amp;utm_content=227f9b30-0d29-4da6-aaf9-1f46aaebd88f&amp;amp;utm_medium=email&amp;amp;utm-term=2026-03-05-09-31-38" TargetMode="External"/><Relationship Id="rId60" Type="http://schemas.openxmlformats.org/officeDocument/2006/relationships/hyperlink" Target="https://bidassist.com/tender/detail/fac1d366-3d5a-48fb-81a6-9c37bed01412?utm_source=BAS-Registered&amp;amp;utm_campaign=emailtenderlist&amp;amp;utm_content=fac1d366-3d5a-48fb-81a6-9c37bed01412&amp;amp;utm_medium=email&amp;amp;utm-term=2026-03-05-09-31-38" TargetMode="External"/><Relationship Id="rId81" Type="http://schemas.openxmlformats.org/officeDocument/2006/relationships/hyperlink" Target="https://bidassist.com/tender/detail/3861616f-6a21-4f03-ad7b-24af3c6b382a?utm_source=BAS-Registered&amp;amp;utm_campaign=emailtenderlist&amp;amp;utm_content=3861616f-6a21-4f03-ad7b-24af3c6b382a&amp;amp;utm_medium=email&amp;amp;utm-term=2026-03-05-09-31-38" TargetMode="External"/><Relationship Id="rId135" Type="http://schemas.openxmlformats.org/officeDocument/2006/relationships/hyperlink" Target="https://bidassist.com/tender/detail/9383b01f-064f-4578-8838-45ce704ba19a?utm_source=BAS-Registered&amp;amp;utm_campaign=emailtenderlist&amp;amp;utm_content=9383b01f-064f-4578-8838-45ce704ba19a&amp;amp;utm_medium=email&amp;amp;utm-term=2026-03-05-09-31-38" TargetMode="External"/><Relationship Id="rId156" Type="http://schemas.openxmlformats.org/officeDocument/2006/relationships/hyperlink" Target="https://bidassist.com/tender/detail/c701234a-82ba-44fd-ad84-9ddb127555d3?utm_source=BAS-Registered&amp;amp;utm_campaign=emailtenderlist&amp;amp;utm_content=c701234a-82ba-44fd-ad84-9ddb127555d3&amp;amp;utm_medium=email&amp;amp;utm-term=2026-03-05-09-31-38" TargetMode="External"/><Relationship Id="rId177" Type="http://schemas.openxmlformats.org/officeDocument/2006/relationships/hyperlink" Target="https://bidassist.com/tender/detail/f9e17e90-486f-4ef4-8734-c24d888b7a80?utm_source=BAS-Registered&amp;amp;utm_campaign=emailtenderlist&amp;amp;utm_content=f9e17e90-486f-4ef4-8734-c24d888b7a80&amp;amp;utm_medium=email&amp;amp;utm-term=2026-03-05-09-31-38" TargetMode="External"/><Relationship Id="rId198" Type="http://schemas.openxmlformats.org/officeDocument/2006/relationships/hyperlink" Target="https://bidassist.com/tender/detail/c5909c73-4c65-4671-a64d-1b96049b541d?utm_source=BAS-Registered&amp;amp;utm_campaign=emailtenderlist&amp;amp;utm_content=c5909c73-4c65-4671-a64d-1b96049b541d&amp;amp;utm_medium=email&amp;amp;utm-term=2026-03-05-09-31-38" TargetMode="External"/><Relationship Id="rId202" Type="http://schemas.openxmlformats.org/officeDocument/2006/relationships/hyperlink" Target="https://bidassist.com/tender/detail/d7f4b0e0-2b13-4f5b-a0f9-d83244cbfef5?utm_source=BAS-Registered&amp;amp;utm_campaign=emailtenderlist&amp;amp;utm_content=d7f4b0e0-2b13-4f5b-a0f9-d83244cbfef5&amp;amp;utm_medium=email&amp;amp;utm-term=2026-03-05-09-31-38" TargetMode="External"/><Relationship Id="rId223" Type="http://schemas.openxmlformats.org/officeDocument/2006/relationships/hyperlink" Target="https://bidassist.com/tender/detail/54518372-4033-4b47-a35f-f26ea52d5015?utm_source=BAS-Registered&amp;amp;utm_campaign=emailtenderlist&amp;amp;utm_content=54518372-4033-4b47-a35f-f26ea52d5015&amp;amp;utm_medium=email&amp;amp;utm-term=2026-03-05-09-31-38" TargetMode="External"/><Relationship Id="rId244" Type="http://schemas.openxmlformats.org/officeDocument/2006/relationships/hyperlink" Target="https://bidassist.com/tender/detail/9afd765d-fb09-4664-b63f-fbf436fdf539?utm_source=BAS-Registered&amp;amp;utm_campaign=emailtenderlist&amp;amp;utm_content=9afd765d-fb09-4664-b63f-fbf436fdf539&amp;amp;utm_medium=email&amp;amp;utm-term=2026-03-05-09-31-38" TargetMode="External"/><Relationship Id="rId18" Type="http://schemas.openxmlformats.org/officeDocument/2006/relationships/hyperlink" Target="https://bidassist.com/tender/detail/47c1c3c9-fc93-45d7-915d-9770a66e2903?utm_source=BAS-Registered&amp;amp;utm_campaign=emailtenderlist&amp;amp;utm_content=47c1c3c9-fc93-45d7-915d-9770a66e2903&amp;amp;utm_medium=email&amp;amp;utm-term=2026-03-05-09-31-38" TargetMode="External"/><Relationship Id="rId39" Type="http://schemas.openxmlformats.org/officeDocument/2006/relationships/hyperlink" Target="https://bidassist.com/tender/detail/d13f1c8f-3995-4da5-880d-3d9408cab575?utm_source=BAS-Registered&amp;amp;utm_campaign=emailtenderlist&amp;amp;utm_content=d13f1c8f-3995-4da5-880d-3d9408cab575&amp;amp;utm_medium=email&amp;amp;utm-term=2026-03-05-09-31-38" TargetMode="External"/><Relationship Id="rId50" Type="http://schemas.openxmlformats.org/officeDocument/2006/relationships/hyperlink" Target="https://bidassist.com/tender/detail/4a6043e0-86af-48a0-9463-6c82f3b96ae4?utm_source=BAS-Registered&amp;amp;utm_campaign=emailtenderlist&amp;amp;utm_content=4a6043e0-86af-48a0-9463-6c82f3b96ae4&amp;amp;utm_medium=email&amp;amp;utm-term=2026-03-05-09-31-38" TargetMode="External"/><Relationship Id="rId104" Type="http://schemas.openxmlformats.org/officeDocument/2006/relationships/hyperlink" Target="https://bidassist.com/tender/detail/414feb9e-6fe9-43aa-8184-4b2b2de1fcc9?utm_source=BAS-Registered&amp;amp;utm_campaign=emailtenderlist&amp;amp;utm_content=414feb9e-6fe9-43aa-8184-4b2b2de1fcc9&amp;amp;utm_medium=email&amp;amp;utm-term=2026-03-05-09-31-38" TargetMode="External"/><Relationship Id="rId125" Type="http://schemas.openxmlformats.org/officeDocument/2006/relationships/hyperlink" Target="https://bidassist.com/tender/detail/822bc684-bbf5-49c8-b196-c364e0ad96d2?utm_source=BAS-Registered&amp;amp;utm_campaign=emailtenderlist&amp;amp;utm_content=822bc684-bbf5-49c8-b196-c364e0ad96d2&amp;amp;utm_medium=email&amp;amp;utm-term=2026-03-05-09-31-38" TargetMode="External"/><Relationship Id="rId146" Type="http://schemas.openxmlformats.org/officeDocument/2006/relationships/hyperlink" Target="https://bidassist.com/tender/detail/1ec90898-4ea0-43c2-84da-890aafec0e57?utm_source=BAS-Registered&amp;amp;utm_campaign=emailtenderlist&amp;amp;utm_content=1ec90898-4ea0-43c2-84da-890aafec0e57&amp;amp;utm_medium=email&amp;amp;utm-term=2026-03-05-09-31-38" TargetMode="External"/><Relationship Id="rId167" Type="http://schemas.openxmlformats.org/officeDocument/2006/relationships/hyperlink" Target="https://bidassist.com/tender/detail/8c6af5b2-ff17-4010-929c-9489b22b3730?utm_source=BAS-Registered&amp;amp;utm_campaign=emailtenderlist&amp;amp;utm_content=8c6af5b2-ff17-4010-929c-9489b22b3730&amp;amp;utm_medium=email&amp;amp;utm-term=2026-03-05-09-31-38" TargetMode="External"/><Relationship Id="rId188" Type="http://schemas.openxmlformats.org/officeDocument/2006/relationships/hyperlink" Target="https://bidassist.com/tender/detail/21b7ddef-c31e-460f-9814-e06555503231?utm_source=BAS-Registered&amp;amp;utm_campaign=emailtenderlist&amp;amp;utm_content=21b7ddef-c31e-460f-9814-e06555503231&amp;amp;utm_medium=email&amp;amp;utm-term=2026-03-05-09-31-38" TargetMode="External"/><Relationship Id="rId71" Type="http://schemas.openxmlformats.org/officeDocument/2006/relationships/hyperlink" Target="https://bidassist.com/tender/detail/cbf88ce5-8d08-4008-b81e-2f095d37761b?utm_source=BAS-Registered&amp;amp;utm_campaign=emailtenderlist&amp;amp;utm_content=cbf88ce5-8d08-4008-b81e-2f095d37761b&amp;amp;utm_medium=email&amp;amp;utm-term=2026-03-05-09-31-38" TargetMode="External"/><Relationship Id="rId92" Type="http://schemas.openxmlformats.org/officeDocument/2006/relationships/hyperlink" Target="https://bidassist.com/tender/detail/7d57950c-50b1-47e8-a382-1daa76cded8b?utm_source=BAS-Registered&amp;amp;utm_campaign=emailtenderlist&amp;amp;utm_content=7d57950c-50b1-47e8-a382-1daa76cded8b&amp;amp;utm_medium=email&amp;amp;utm-term=2026-03-05-09-31-38" TargetMode="External"/><Relationship Id="rId213" Type="http://schemas.openxmlformats.org/officeDocument/2006/relationships/hyperlink" Target="https://bidassist.com/tender/detail/c30ce246-1f13-4f8a-b0d6-c17cc0fc3103?utm_source=BAS-Registered&amp;amp;utm_campaign=emailtenderlist&amp;amp;utm_content=c30ce246-1f13-4f8a-b0d6-c17cc0fc3103&amp;amp;utm_medium=email&amp;amp;utm-term=2026-03-05-09-31-38" TargetMode="External"/><Relationship Id="rId234" Type="http://schemas.openxmlformats.org/officeDocument/2006/relationships/hyperlink" Target="https://bidassist.com/tender/detail/fd89ee98-0d8f-49e7-98a2-7d31022262ba?utm_source=BAS-Registered&amp;amp;utm_campaign=emailtenderlist&amp;amp;utm_content=fd89ee98-0d8f-49e7-98a2-7d31022262ba&amp;amp;utm_medium=email&amp;amp;utm-term=2026-03-05-09-31-38" TargetMode="External"/><Relationship Id="rId2" Type="http://schemas.openxmlformats.org/officeDocument/2006/relationships/hyperlink" Target="https://bidassist.com/tender/detail/751d8d9f-f067-4553-a535-82e5221d3f5c?utm_source=BAS-Registered&amp;amp;utm_campaign=emailtenderlist&amp;amp;utm_content=751d8d9f-f067-4553-a535-82e5221d3f5c&amp;amp;utm_medium=email&amp;amp;utm-term=2026-03-05-09-31-38" TargetMode="External"/><Relationship Id="rId29" Type="http://schemas.openxmlformats.org/officeDocument/2006/relationships/hyperlink" Target="https://bidassist.com/tender/detail/23f34705-b342-4cf2-9518-c9e80ae54906?utm_source=BAS-Registered&amp;amp;utm_campaign=emailtenderlist&amp;amp;utm_content=23f34705-b342-4cf2-9518-c9e80ae54906&amp;amp;utm_medium=email&amp;amp;utm-term=2026-03-05-09-31-38" TargetMode="External"/><Relationship Id="rId255" Type="http://schemas.openxmlformats.org/officeDocument/2006/relationships/hyperlink" Target="https://bidassist.com/tender/detail/947b8e8e-b933-4e09-a1d7-1439da5a7f77?utm_source=BAS-Registered&amp;amp;utm_campaign=emailtenderlist&amp;amp;utm_content=947b8e8e-b933-4e09-a1d7-1439da5a7f77&amp;amp;utm_medium=email&amp;amp;utm-term=2026-03-05-09-31-38" TargetMode="External"/><Relationship Id="rId40" Type="http://schemas.openxmlformats.org/officeDocument/2006/relationships/hyperlink" Target="https://bidassist.com/tender/detail/dbd6e8df-76e3-41e9-b854-10ee3f344e32?utm_source=BAS-Registered&amp;amp;utm_campaign=emailtenderlist&amp;amp;utm_content=dbd6e8df-76e3-41e9-b854-10ee3f344e32&amp;amp;utm_medium=email&amp;amp;utm-term=2026-03-05-09-31-38" TargetMode="External"/><Relationship Id="rId115" Type="http://schemas.openxmlformats.org/officeDocument/2006/relationships/hyperlink" Target="https://bidassist.com/tender/detail/3c37e1a1-979a-4acf-a112-b411e76d820d?utm_source=BAS-Registered&amp;amp;utm_campaign=emailtenderlist&amp;amp;utm_content=3c37e1a1-979a-4acf-a112-b411e76d820d&amp;amp;utm_medium=email&amp;amp;utm-term=2026-03-05-09-31-38" TargetMode="External"/><Relationship Id="rId136" Type="http://schemas.openxmlformats.org/officeDocument/2006/relationships/hyperlink" Target="https://bidassist.com/tender/detail/0fc6a16c-a610-4201-96dc-905f0d1f427b?utm_source=BAS-Registered&amp;amp;utm_campaign=emailtenderlist&amp;amp;utm_content=0fc6a16c-a610-4201-96dc-905f0d1f427b&amp;amp;utm_medium=email&amp;amp;utm-term=2026-03-05-09-31-38" TargetMode="External"/><Relationship Id="rId157" Type="http://schemas.openxmlformats.org/officeDocument/2006/relationships/hyperlink" Target="https://bidassist.com/tender/detail/d7af583e-b366-4f2c-95c1-2fb0a48d1417?utm_source=BAS-Registered&amp;amp;utm_campaign=emailtenderlist&amp;amp;utm_content=d7af583e-b366-4f2c-95c1-2fb0a48d1417&amp;amp;utm_medium=email&amp;amp;utm-term=2026-03-05-09-31-38" TargetMode="External"/><Relationship Id="rId178" Type="http://schemas.openxmlformats.org/officeDocument/2006/relationships/hyperlink" Target="https://bidassist.com/tender/detail/fc14c9f8-50fd-4613-9bd6-bfbec4b0111b?utm_source=BAS-Registered&amp;amp;utm_campaign=emailtenderlist&amp;amp;utm_content=fc14c9f8-50fd-4613-9bd6-bfbec4b0111b&amp;amp;utm_medium=email&amp;amp;utm-term=2026-03-05-09-31-38" TargetMode="External"/><Relationship Id="rId61" Type="http://schemas.openxmlformats.org/officeDocument/2006/relationships/hyperlink" Target="https://bidassist.com/tender/detail/8f13e7a3-1dba-4351-ae91-22fa911226d8?utm_source=BAS-Registered&amp;amp;utm_campaign=emailtenderlist&amp;amp;utm_content=8f13e7a3-1dba-4351-ae91-22fa911226d8&amp;amp;utm_medium=email&amp;amp;utm-term=2026-03-05-09-31-38" TargetMode="External"/><Relationship Id="rId82" Type="http://schemas.openxmlformats.org/officeDocument/2006/relationships/hyperlink" Target="https://bidassist.com/tender/detail/3c4ae9ae-512f-4e87-944b-e9e4cbe9724b?utm_source=BAS-Registered&amp;amp;utm_campaign=emailtenderlist&amp;amp;utm_content=3c4ae9ae-512f-4e87-944b-e9e4cbe9724b&amp;amp;utm_medium=email&amp;amp;utm-term=2026-03-05-09-31-38" TargetMode="External"/><Relationship Id="rId199" Type="http://schemas.openxmlformats.org/officeDocument/2006/relationships/hyperlink" Target="https://bidassist.com/tender/detail/cf3e66ff-dfe3-4b62-b4da-56f06c46c759?utm_source=BAS-Registered&amp;amp;utm_campaign=emailtenderlist&amp;amp;utm_content=cf3e66ff-dfe3-4b62-b4da-56f06c46c759&amp;amp;utm_medium=email&amp;amp;utm-term=2026-03-05-09-31-38" TargetMode="External"/><Relationship Id="rId203" Type="http://schemas.openxmlformats.org/officeDocument/2006/relationships/hyperlink" Target="https://bidassist.com/tender/detail/e362fe88-b601-43d3-8e28-111907922a54?utm_source=BAS-Registered&amp;amp;utm_campaign=emailtenderlist&amp;amp;utm_content=e362fe88-b601-43d3-8e28-111907922a54&amp;amp;utm_medium=email&amp;amp;utm-term=2026-03-05-09-31-38" TargetMode="External"/><Relationship Id="rId19" Type="http://schemas.openxmlformats.org/officeDocument/2006/relationships/hyperlink" Target="https://bidassist.com/tender/detail/4d34036e-41ed-456e-83fc-0b998c86ea63?utm_source=BAS-Registered&amp;amp;utm_campaign=emailtenderlist&amp;amp;utm_content=4d34036e-41ed-456e-83fc-0b998c86ea63&amp;amp;utm_medium=email&amp;amp;utm-term=2026-03-05-09-31-38" TargetMode="External"/><Relationship Id="rId224" Type="http://schemas.openxmlformats.org/officeDocument/2006/relationships/hyperlink" Target="https://bidassist.com/tender/detail/5a265919-8334-4743-9e96-fde7e514bb2d?utm_source=BAS-Registered&amp;amp;utm_campaign=emailtenderlist&amp;amp;utm_content=5a265919-8334-4743-9e96-fde7e514bb2d&amp;amp;utm_medium=email&amp;amp;utm-term=2026-03-05-09-31-38" TargetMode="External"/><Relationship Id="rId245" Type="http://schemas.openxmlformats.org/officeDocument/2006/relationships/hyperlink" Target="https://bidassist.com/tender/detail/0cd38b52-bca5-4622-bf69-b9fa6a44d3c3?utm_source=BAS-Registered&amp;amp;utm_campaign=emailtenderlist&amp;amp;utm_content=0cd38b52-bca5-4622-bf69-b9fa6a44d3c3&amp;amp;utm_medium=email&amp;amp;utm-term=2026-03-05-09-31-38" TargetMode="External"/><Relationship Id="rId30" Type="http://schemas.openxmlformats.org/officeDocument/2006/relationships/hyperlink" Target="https://bidassist.com/tender/detail/293d221d-cb58-4f74-8e5f-e48378911ce2?utm_source=BAS-Registered&amp;amp;utm_campaign=emailtenderlist&amp;amp;utm_content=293d221d-cb58-4f74-8e5f-e48378911ce2&amp;amp;utm_medium=email&amp;amp;utm-term=2026-03-05-09-31-38" TargetMode="External"/><Relationship Id="rId105" Type="http://schemas.openxmlformats.org/officeDocument/2006/relationships/hyperlink" Target="https://bidassist.com/tender/detail/622a9c18-07ec-4a44-bc43-4875707b454b?utm_source=BAS-Registered&amp;amp;utm_campaign=emailtenderlist&amp;amp;utm_content=622a9c18-07ec-4a44-bc43-4875707b454b&amp;amp;utm_medium=email&amp;amp;utm-term=2026-03-05-09-31-38" TargetMode="External"/><Relationship Id="rId126" Type="http://schemas.openxmlformats.org/officeDocument/2006/relationships/hyperlink" Target="https://bidassist.com/tender/detail/8eabe608-4e3b-483a-b018-06ba93d6d5c7?utm_source=BAS-Registered&amp;amp;utm_campaign=emailtenderlist&amp;amp;utm_content=8eabe608-4e3b-483a-b018-06ba93d6d5c7&amp;amp;utm_medium=email&amp;amp;utm-term=2026-03-05-09-31-38" TargetMode="External"/><Relationship Id="rId147" Type="http://schemas.openxmlformats.org/officeDocument/2006/relationships/hyperlink" Target="https://bidassist.com/tender/detail/3417ce5b-d247-4cdb-bf74-a26e0c65026a?utm_source=BAS-Registered&amp;amp;utm_campaign=emailtenderlist&amp;amp;utm_content=3417ce5b-d247-4cdb-bf74-a26e0c65026a&amp;amp;utm_medium=email&amp;amp;utm-term=2026-03-05-09-31-38" TargetMode="External"/><Relationship Id="rId168" Type="http://schemas.openxmlformats.org/officeDocument/2006/relationships/hyperlink" Target="https://bidassist.com/tender/detail/acc7c7c8-2021-473c-98f6-d157257b512d?utm_source=BAS-Registered&amp;amp;utm_campaign=emailtenderlist&amp;amp;utm_content=acc7c7c8-2021-473c-98f6-d157257b512d&amp;amp;utm_medium=email&amp;amp;utm-term=2026-03-05-09-31-38" TargetMode="External"/><Relationship Id="rId51" Type="http://schemas.openxmlformats.org/officeDocument/2006/relationships/hyperlink" Target="https://bidassist.com/tender/detail/50ce902c-fb75-44c4-abd1-dfa380c9244b?utm_source=BAS-Registered&amp;amp;utm_campaign=emailtenderlist&amp;amp;utm_content=50ce902c-fb75-44c4-abd1-dfa380c9244b&amp;amp;utm_medium=email&amp;amp;utm-term=2026-03-05-09-31-38" TargetMode="External"/><Relationship Id="rId72" Type="http://schemas.openxmlformats.org/officeDocument/2006/relationships/hyperlink" Target="https://bidassist.com/tender/detail/e066ef16-ff71-4802-9346-be7f9ddb9660?utm_source=BAS-Registered&amp;amp;utm_campaign=emailtenderlist&amp;amp;utm_content=e066ef16-ff71-4802-9346-be7f9ddb9660&amp;amp;utm_medium=email&amp;amp;utm-term=2026-03-05-09-31-38" TargetMode="External"/><Relationship Id="rId93" Type="http://schemas.openxmlformats.org/officeDocument/2006/relationships/hyperlink" Target="https://bidassist.com/tender/detail/842a94f9-a5d7-4a59-bbe2-60e6b861d5f4?utm_source=BAS-Registered&amp;amp;utm_campaign=emailtenderlist&amp;amp;utm_content=842a94f9-a5d7-4a59-bbe2-60e6b861d5f4&amp;amp;utm_medium=email&amp;amp;utm-term=2026-03-05-09-31-38" TargetMode="External"/><Relationship Id="rId189" Type="http://schemas.openxmlformats.org/officeDocument/2006/relationships/hyperlink" Target="https://bidassist.com/tender/detail/48fb3106-1198-4dee-919e-9e4b601ef5f3?utm_source=BAS-Registered&amp;amp;utm_campaign=emailtenderlist&amp;amp;utm_content=48fb3106-1198-4dee-919e-9e4b601ef5f3&amp;amp;utm_medium=email&amp;amp;utm-term=2026-03-05-09-31-38" TargetMode="External"/><Relationship Id="rId3" Type="http://schemas.openxmlformats.org/officeDocument/2006/relationships/hyperlink" Target="https://bidassist.com/tender/detail/82ea183c-578a-42c9-812d-001b2c278b09?utm_source=BAS-Registered&amp;amp;utm_campaign=emailtenderlist&amp;amp;utm_content=82ea183c-578a-42c9-812d-001b2c278b09&amp;amp;utm_medium=email&amp;amp;utm-term=2026-03-05-09-31-38" TargetMode="External"/><Relationship Id="rId214" Type="http://schemas.openxmlformats.org/officeDocument/2006/relationships/hyperlink" Target="https://bidassist.com/tender/detail/c9336661-e37f-41ea-948d-0953c435c4dd?utm_source=BAS-Registered&amp;amp;utm_campaign=emailtenderlist&amp;amp;utm_content=c9336661-e37f-41ea-948d-0953c435c4dd&amp;amp;utm_medium=email&amp;amp;utm-term=2026-03-05-09-31-38" TargetMode="External"/><Relationship Id="rId235" Type="http://schemas.openxmlformats.org/officeDocument/2006/relationships/hyperlink" Target="https://bidassist.com/tender/detail/b911cc37-deb5-4342-a238-005675485309?utm_source=BAS-Registered&amp;amp;utm_campaign=emailtenderlist&amp;amp;utm_content=b911cc37-deb5-4342-a238-005675485309&amp;amp;utm_medium=email&amp;amp;utm-term=2026-03-05-09-31-38" TargetMode="External"/><Relationship Id="rId256" Type="http://schemas.openxmlformats.org/officeDocument/2006/relationships/hyperlink" Target="https://bidassist.com/tender/detail/d7af583e-b366-4f2c-95c1-2fb0a48d1417?utm_source=BAS-Registered&amp;amp;utm_campaign=emailtenderlist&amp;amp;utm_content=d7af583e-b366-4f2c-95c1-2fb0a48d1417&amp;amp;utm_medium=email&amp;amp;utm-term=2026-03-05-09-31-38" TargetMode="External"/><Relationship Id="rId116" Type="http://schemas.openxmlformats.org/officeDocument/2006/relationships/hyperlink" Target="https://bidassist.com/tender/detail/409ff221-5fa9-4867-a140-2cf95b5d98bf?utm_source=BAS-Registered&amp;amp;utm_campaign=emailtenderlist&amp;amp;utm_content=409ff221-5fa9-4867-a140-2cf95b5d98bf&amp;amp;utm_medium=email&amp;amp;utm-term=2026-03-05-09-31-38" TargetMode="External"/><Relationship Id="rId137" Type="http://schemas.openxmlformats.org/officeDocument/2006/relationships/hyperlink" Target="https://bidassist.com/tender/detail/4dc16681-656a-44ed-96f2-98c5b73023fe?utm_source=BAS-Registered&amp;amp;utm_campaign=emailtenderlist&amp;amp;utm_content=4dc16681-656a-44ed-96f2-98c5b73023fe&amp;amp;utm_medium=email&amp;amp;utm-term=2026-03-05-09-31-38" TargetMode="External"/><Relationship Id="rId158" Type="http://schemas.openxmlformats.org/officeDocument/2006/relationships/hyperlink" Target="https://bidassist.com/tender/detail/dce70b28-f5e3-43db-93f4-344452b64bf0?utm_source=BAS-Registered&amp;amp;utm_campaign=emailtenderlist&amp;amp;utm_content=dce70b28-f5e3-43db-93f4-344452b64bf0&amp;amp;utm_medium=email&amp;amp;utm-term=2026-03-05-09-31-38" TargetMode="External"/><Relationship Id="rId20" Type="http://schemas.openxmlformats.org/officeDocument/2006/relationships/hyperlink" Target="https://bidassist.com/tender/detail/540623be-5136-459a-9c3f-1674f97bdb36?utm_source=BAS-Registered&amp;amp;utm_campaign=emailtenderlist&amp;amp;utm_content=540623be-5136-459a-9c3f-1674f97bdb36&amp;amp;utm_medium=email&amp;amp;utm-term=2026-03-05-09-31-38" TargetMode="External"/><Relationship Id="rId41" Type="http://schemas.openxmlformats.org/officeDocument/2006/relationships/hyperlink" Target="https://bidassist.com/tender/detail/50e7e879-5006-4a9c-b61b-706cf18ef8e6?utm_source=BAS-Registered&amp;amp;utm_campaign=emailtenderlist&amp;amp;utm_content=50e7e879-5006-4a9c-b61b-706cf18ef8e6&amp;amp;utm_medium=email&amp;amp;utm-term=2026-03-05-09-31-38" TargetMode="External"/><Relationship Id="rId62" Type="http://schemas.openxmlformats.org/officeDocument/2006/relationships/hyperlink" Target="https://bidassist.com/tender/detail/354cd772-a685-4e6a-a9e2-2f7456e54b84?utm_source=BAS-Registered&amp;amp;utm_campaign=emailtenderlist&amp;amp;utm_content=354cd772-a685-4e6a-a9e2-2f7456e54b84&amp;amp;utm_medium=email&amp;amp;utm-term=2026-03-05-09-31-38" TargetMode="External"/><Relationship Id="rId83" Type="http://schemas.openxmlformats.org/officeDocument/2006/relationships/hyperlink" Target="https://bidassist.com/tender/detail/457dffa5-a771-44d8-9f50-a76da0fcded6?utm_source=BAS-Registered&amp;amp;utm_campaign=emailtenderlist&amp;amp;utm_content=457dffa5-a771-44d8-9f50-a76da0fcded6&amp;amp;utm_medium=email&amp;amp;utm-term=2026-03-05-09-31-38" TargetMode="External"/><Relationship Id="rId179" Type="http://schemas.openxmlformats.org/officeDocument/2006/relationships/hyperlink" Target="https://bidassist.com/tender/detail/cbb9063d-a296-4e15-82e4-e9cddb2a5c48?utm_source=BAS-Registered&amp;amp;utm_campaign=emailtenderlist&amp;amp;utm_content=cbb9063d-a296-4e15-82e4-e9cddb2a5c48&amp;amp;utm_medium=email&amp;amp;utm-term=2026-03-05-09-31-38" TargetMode="External"/><Relationship Id="rId190" Type="http://schemas.openxmlformats.org/officeDocument/2006/relationships/hyperlink" Target="https://bidassist.com/tender/detail/6057ee61-a84f-4707-9b1c-8092fb56b360?utm_source=BAS-Registered&amp;amp;utm_campaign=emailtenderlist&amp;amp;utm_content=6057ee61-a84f-4707-9b1c-8092fb56b360&amp;amp;utm_medium=email&amp;amp;utm-term=2026-03-05-09-31-38" TargetMode="External"/><Relationship Id="rId204" Type="http://schemas.openxmlformats.org/officeDocument/2006/relationships/hyperlink" Target="https://bidassist.com/tender/detail/08e21cf4-77d0-4636-b311-7ab2568459a5?utm_source=BAS-Registered&amp;amp;utm_campaign=emailtenderlist&amp;amp;utm_content=08e21cf4-77d0-4636-b311-7ab2568459a5&amp;amp;utm_medium=email&amp;amp;utm-term=2026-03-05-09-31-38" TargetMode="External"/><Relationship Id="rId225" Type="http://schemas.openxmlformats.org/officeDocument/2006/relationships/hyperlink" Target="https://bidassist.com/tender/detail/5b1d0501-e814-498b-bdf2-d20c765068c6?utm_source=BAS-Registered&amp;amp;utm_campaign=emailtenderlist&amp;amp;utm_content=5b1d0501-e814-498b-bdf2-d20c765068c6&amp;amp;utm_medium=email&amp;amp;utm-term=2026-03-05-09-31-38" TargetMode="External"/><Relationship Id="rId246" Type="http://schemas.openxmlformats.org/officeDocument/2006/relationships/hyperlink" Target="https://bidassist.com/tender/detail/2171a61a-d017-4d5e-bdc2-9a1b61a17094?utm_source=BAS-Registered&amp;amp;utm_campaign=emailtenderlist&amp;amp;utm_content=2171a61a-d017-4d5e-bdc2-9a1b61a17094&amp;amp;utm_medium=email&amp;amp;utm-term=2026-03-05-09-31-38" TargetMode="External"/><Relationship Id="rId106" Type="http://schemas.openxmlformats.org/officeDocument/2006/relationships/hyperlink" Target="https://bidassist.com/tender/detail/640bd0ec-42eb-4eba-aa43-9ca42c3e786b?utm_source=BAS-Registered&amp;amp;utm_campaign=emailtenderlist&amp;amp;utm_content=640bd0ec-42eb-4eba-aa43-9ca42c3e786b&amp;amp;utm_medium=email&amp;amp;utm-term=2026-03-05-09-31-38" TargetMode="External"/><Relationship Id="rId127" Type="http://schemas.openxmlformats.org/officeDocument/2006/relationships/hyperlink" Target="https://bidassist.com/tender/detail/8f3c96c2-7d2d-4671-b10d-07d0ceb88e2b?utm_source=BAS-Registered&amp;amp;utm_campaign=emailtenderlist&amp;amp;utm_content=8f3c96c2-7d2d-4671-b10d-07d0ceb88e2b&amp;amp;utm_medium=email&amp;amp;utm-term=2026-03-05-09-31-38" TargetMode="External"/><Relationship Id="rId10" Type="http://schemas.openxmlformats.org/officeDocument/2006/relationships/hyperlink" Target="https://bidassist.com/tender/detail/1046e3d5-d93e-4010-a090-959fd0982c92?utm_source=BAS-Registered&amp;amp;utm_campaign=emailtenderlist&amp;amp;utm_content=1046e3d5-d93e-4010-a090-959fd0982c92&amp;amp;utm_medium=email&amp;amp;utm-term=2026-03-05-09-31-38" TargetMode="External"/><Relationship Id="rId31" Type="http://schemas.openxmlformats.org/officeDocument/2006/relationships/hyperlink" Target="https://bidassist.com/tender/detail/2bb9c648-ac3d-499a-8e9b-8d75b437e674?utm_source=BAS-Registered&amp;amp;utm_campaign=emailtenderlist&amp;amp;utm_content=2bb9c648-ac3d-499a-8e9b-8d75b437e674&amp;amp;utm_medium=email&amp;amp;utm-term=2026-03-05-09-31-38" TargetMode="External"/><Relationship Id="rId52" Type="http://schemas.openxmlformats.org/officeDocument/2006/relationships/hyperlink" Target="https://bidassist.com/tender/detail/731b7872-053c-42b9-a76b-8fc52792d069?utm_source=BAS-Registered&amp;amp;utm_campaign=emailtenderlist&amp;amp;utm_content=731b7872-053c-42b9-a76b-8fc52792d069&amp;amp;utm_medium=email&amp;amp;utm-term=2026-03-05-09-31-38" TargetMode="External"/><Relationship Id="rId73" Type="http://schemas.openxmlformats.org/officeDocument/2006/relationships/hyperlink" Target="https://bidassist.com/tender/detail/e0c63064-5379-4254-a28e-c4a103d054b3?utm_source=BAS-Registered&amp;amp;utm_campaign=emailtenderlist&amp;amp;utm_content=e0c63064-5379-4254-a28e-c4a103d054b3&amp;amp;utm_medium=email&amp;amp;utm-term=2026-03-05-09-31-38" TargetMode="External"/><Relationship Id="rId94" Type="http://schemas.openxmlformats.org/officeDocument/2006/relationships/hyperlink" Target="https://bidassist.com/tender/detail/b50e464a-eb84-413e-9dc6-5900e98860b0?utm_source=BAS-Registered&amp;amp;utm_campaign=emailtenderlist&amp;amp;utm_content=b50e464a-eb84-413e-9dc6-5900e98860b0&amp;amp;utm_medium=email&amp;amp;utm-term=2026-03-05-09-31-38" TargetMode="External"/><Relationship Id="rId148" Type="http://schemas.openxmlformats.org/officeDocument/2006/relationships/hyperlink" Target="https://bidassist.com/tender/detail/3d1945c5-df31-4549-82f8-c906160a59c2?utm_source=BAS-Registered&amp;amp;utm_campaign=emailtenderlist&amp;amp;utm_content=3d1945c5-df31-4549-82f8-c906160a59c2&amp;amp;utm_medium=email&amp;amp;utm-term=2026-03-05-09-31-38" TargetMode="External"/><Relationship Id="rId169" Type="http://schemas.openxmlformats.org/officeDocument/2006/relationships/hyperlink" Target="https://bidassist.com/tender/detail/8cb82fbd-ea3a-4560-a7a7-58a6eba5a3ea?utm_source=BAS-Registered&amp;amp;utm_campaign=emailtenderlist&amp;amp;utm_content=8cb82fbd-ea3a-4560-a7a7-58a6eba5a3ea&amp;amp;utm_medium=email&amp;amp;utm-term=2026-03-05-09-31-38" TargetMode="External"/><Relationship Id="rId4" Type="http://schemas.openxmlformats.org/officeDocument/2006/relationships/hyperlink" Target="https://bidassist.com/tender/detail/8ce5e0eb-644b-4a5f-8cda-4963889fc720?utm_source=BAS-Registered&amp;amp;utm_campaign=emailtenderlist&amp;amp;utm_content=8ce5e0eb-644b-4a5f-8cda-4963889fc720&amp;amp;utm_medium=email&amp;amp;utm-term=2026-03-05-09-31-38" TargetMode="External"/><Relationship Id="rId180" Type="http://schemas.openxmlformats.org/officeDocument/2006/relationships/hyperlink" Target="https://bidassist.com/tender/detail/9a29acce-2390-4ded-91c0-d8de9c5aa944?utm_source=BAS-Registered&amp;amp;utm_campaign=emailtenderlist&amp;amp;utm_content=9a29acce-2390-4ded-91c0-d8de9c5aa944&amp;amp;utm_medium=email&amp;amp;utm-term=2026-03-05-09-31-38" TargetMode="External"/><Relationship Id="rId215" Type="http://schemas.openxmlformats.org/officeDocument/2006/relationships/hyperlink" Target="https://bidassist.com/tender/detail/c452e2b6-1330-4211-848c-a9a945355a44?utm_source=BAS-Registered&amp;amp;utm_campaign=emailtenderlist&amp;amp;utm_content=c452e2b6-1330-4211-848c-a9a945355a44&amp;amp;utm_medium=email&amp;amp;utm-term=2026-03-05-09-31-38" TargetMode="External"/><Relationship Id="rId236" Type="http://schemas.openxmlformats.org/officeDocument/2006/relationships/hyperlink" Target="https://bidassist.com/tender/detail/cd37a7ef-8e97-437b-ad02-b402f7000665?utm_source=BAS-Registered&amp;amp;utm_campaign=emailtenderlist&amp;amp;utm_content=cd37a7ef-8e97-437b-ad02-b402f7000665&amp;amp;utm_medium=email&amp;amp;utm-term=2026-03-05-09-31-38" TargetMode="External"/><Relationship Id="rId257"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2"/>
  <sheetViews>
    <sheetView workbookViewId="0">
      <selection activeCell="Q258" sqref="Q258"/>
    </sheetView>
  </sheetViews>
  <sheetFormatPr defaultRowHeight="15" x14ac:dyDescent="0.25"/>
  <cols>
    <col min="2" max="2" width="20.85546875" customWidth="1"/>
    <col min="3" max="3" width="18.140625" customWidth="1"/>
    <col min="4" max="4" width="57.42578125" customWidth="1"/>
    <col min="5" max="5" width="19.28515625" customWidth="1"/>
    <col min="10" max="10" width="15.28515625" bestFit="1" customWidth="1"/>
    <col min="11" max="11" width="15.85546875" customWidth="1"/>
  </cols>
  <sheetData>
    <row r="1" spans="1:11" ht="54.95" customHeight="1" x14ac:dyDescent="0.25">
      <c r="A1" s="259" t="s">
        <v>740</v>
      </c>
      <c r="B1" s="258" t="s">
        <v>7</v>
      </c>
      <c r="C1" s="258" t="s">
        <v>2</v>
      </c>
      <c r="D1" s="258" t="s">
        <v>8</v>
      </c>
      <c r="E1" s="258" t="s">
        <v>741</v>
      </c>
      <c r="F1" s="258" t="s">
        <v>3</v>
      </c>
      <c r="G1" s="258" t="s">
        <v>6</v>
      </c>
      <c r="H1" s="258" t="s">
        <v>4</v>
      </c>
      <c r="I1" s="258" t="s">
        <v>5</v>
      </c>
      <c r="J1" s="258" t="s">
        <v>0</v>
      </c>
      <c r="K1" s="258" t="s">
        <v>1</v>
      </c>
    </row>
    <row r="2" spans="1:11" ht="73.5" customHeight="1" x14ac:dyDescent="0.25">
      <c r="A2" s="257">
        <v>1</v>
      </c>
      <c r="B2" s="1" t="s">
        <v>15</v>
      </c>
      <c r="C2" s="1" t="s">
        <v>11</v>
      </c>
      <c r="D2" s="1" t="s">
        <v>14</v>
      </c>
      <c r="E2" s="1">
        <f>F2/10000000</f>
        <v>0.10929999999999999</v>
      </c>
      <c r="F2" s="1">
        <v>1093000</v>
      </c>
      <c r="G2" s="1">
        <v>22000</v>
      </c>
      <c r="H2" s="1" t="s">
        <v>12</v>
      </c>
      <c r="I2" s="1" t="s">
        <v>13</v>
      </c>
      <c r="J2" s="2" t="s">
        <v>10</v>
      </c>
      <c r="K2" s="1" t="s">
        <v>9</v>
      </c>
    </row>
    <row r="3" spans="1:11" ht="54.95" customHeight="1" x14ac:dyDescent="0.25">
      <c r="A3" s="257">
        <v>2</v>
      </c>
      <c r="B3" s="1" t="s">
        <v>21</v>
      </c>
      <c r="C3" s="1" t="s">
        <v>18</v>
      </c>
      <c r="D3" s="1" t="s">
        <v>20</v>
      </c>
      <c r="E3" s="1">
        <f t="shared" ref="E3:E68" si="0">F3/10000000</f>
        <v>0.12</v>
      </c>
      <c r="F3" s="1">
        <f>G3*50</f>
        <v>1200000</v>
      </c>
      <c r="G3" s="1">
        <v>24000</v>
      </c>
      <c r="H3" s="1" t="s">
        <v>12</v>
      </c>
      <c r="I3" s="1" t="s">
        <v>19</v>
      </c>
      <c r="J3" s="3" t="s">
        <v>17</v>
      </c>
      <c r="K3" s="1" t="s">
        <v>16</v>
      </c>
    </row>
    <row r="4" spans="1:11" ht="93" customHeight="1" x14ac:dyDescent="0.25">
      <c r="A4" s="257">
        <v>3</v>
      </c>
      <c r="B4" s="1" t="s">
        <v>22</v>
      </c>
      <c r="C4" s="1" t="s">
        <v>18</v>
      </c>
      <c r="D4" s="1" t="s">
        <v>26</v>
      </c>
      <c r="E4" s="1">
        <f t="shared" si="0"/>
        <v>0.22500000000000001</v>
      </c>
      <c r="F4" s="1">
        <f>G4*50</f>
        <v>2250000</v>
      </c>
      <c r="G4" s="1">
        <v>45000</v>
      </c>
      <c r="H4" s="1" t="s">
        <v>12</v>
      </c>
      <c r="I4" s="1" t="s">
        <v>25</v>
      </c>
      <c r="J4" s="4" t="s">
        <v>24</v>
      </c>
      <c r="K4" s="1" t="s">
        <v>23</v>
      </c>
    </row>
    <row r="5" spans="1:11" ht="54.95" customHeight="1" x14ac:dyDescent="0.25">
      <c r="A5" s="257">
        <v>4</v>
      </c>
      <c r="B5" s="1" t="s">
        <v>31</v>
      </c>
      <c r="C5" s="1" t="s">
        <v>29</v>
      </c>
      <c r="D5" s="1" t="s">
        <v>30</v>
      </c>
      <c r="E5" s="1">
        <f t="shared" si="0"/>
        <v>0.17899999999999999</v>
      </c>
      <c r="F5" s="266">
        <f>G5*50</f>
        <v>1790000</v>
      </c>
      <c r="G5" s="1">
        <v>35800</v>
      </c>
      <c r="H5" s="1" t="s">
        <v>12</v>
      </c>
      <c r="I5" s="1" t="s">
        <v>25</v>
      </c>
      <c r="J5" s="5" t="s">
        <v>28</v>
      </c>
      <c r="K5" s="1" t="s">
        <v>27</v>
      </c>
    </row>
    <row r="6" spans="1:11" ht="54.95" customHeight="1" x14ac:dyDescent="0.25">
      <c r="A6" s="257">
        <v>5</v>
      </c>
      <c r="B6" s="1" t="s">
        <v>22</v>
      </c>
      <c r="C6" s="1" t="s">
        <v>18</v>
      </c>
      <c r="D6" s="1" t="s">
        <v>34</v>
      </c>
      <c r="E6" s="1">
        <f t="shared" si="0"/>
        <v>0.22500000000000001</v>
      </c>
      <c r="F6" s="1">
        <f t="shared" ref="F6:F11" si="1">G6*50</f>
        <v>2250000</v>
      </c>
      <c r="G6" s="1">
        <v>45000</v>
      </c>
      <c r="H6" s="1" t="s">
        <v>12</v>
      </c>
      <c r="I6" s="1" t="s">
        <v>25</v>
      </c>
      <c r="J6" s="6" t="s">
        <v>33</v>
      </c>
      <c r="K6" s="1" t="s">
        <v>32</v>
      </c>
    </row>
    <row r="7" spans="1:11" ht="54.95" customHeight="1" x14ac:dyDescent="0.25">
      <c r="A7" s="257">
        <v>6</v>
      </c>
      <c r="B7" s="1" t="s">
        <v>22</v>
      </c>
      <c r="C7" s="1" t="s">
        <v>18</v>
      </c>
      <c r="D7" s="1" t="s">
        <v>37</v>
      </c>
      <c r="E7" s="1">
        <f t="shared" si="0"/>
        <v>0.22500000000000001</v>
      </c>
      <c r="F7" s="1">
        <f t="shared" si="1"/>
        <v>2250000</v>
      </c>
      <c r="G7" s="1">
        <v>45000</v>
      </c>
      <c r="H7" s="1" t="s">
        <v>12</v>
      </c>
      <c r="I7" s="1" t="s">
        <v>25</v>
      </c>
      <c r="J7" s="7" t="s">
        <v>36</v>
      </c>
      <c r="K7" s="1" t="s">
        <v>35</v>
      </c>
    </row>
    <row r="8" spans="1:11" ht="54.95" customHeight="1" x14ac:dyDescent="0.25">
      <c r="A8" s="257">
        <v>7</v>
      </c>
      <c r="B8" s="1" t="s">
        <v>21</v>
      </c>
      <c r="C8" s="1" t="s">
        <v>18</v>
      </c>
      <c r="D8" s="1" t="s">
        <v>40</v>
      </c>
      <c r="E8" s="1">
        <f t="shared" si="0"/>
        <v>0.12</v>
      </c>
      <c r="F8" s="1">
        <f t="shared" si="1"/>
        <v>1200000</v>
      </c>
      <c r="G8" s="1">
        <v>24000</v>
      </c>
      <c r="H8" s="1" t="s">
        <v>12</v>
      </c>
      <c r="I8" s="1" t="s">
        <v>19</v>
      </c>
      <c r="J8" s="8" t="s">
        <v>39</v>
      </c>
      <c r="K8" s="1" t="s">
        <v>38</v>
      </c>
    </row>
    <row r="9" spans="1:11" ht="54.95" customHeight="1" x14ac:dyDescent="0.25">
      <c r="A9" s="257">
        <v>8</v>
      </c>
      <c r="B9" s="1" t="s">
        <v>21</v>
      </c>
      <c r="C9" s="1" t="s">
        <v>18</v>
      </c>
      <c r="D9" s="1" t="s">
        <v>42</v>
      </c>
      <c r="E9" s="1">
        <f t="shared" si="0"/>
        <v>0.12</v>
      </c>
      <c r="F9" s="1">
        <f t="shared" si="1"/>
        <v>1200000</v>
      </c>
      <c r="G9" s="1">
        <v>24000</v>
      </c>
      <c r="H9" s="1" t="s">
        <v>12</v>
      </c>
      <c r="I9" s="1" t="s">
        <v>19</v>
      </c>
      <c r="J9" s="9" t="s">
        <v>41</v>
      </c>
      <c r="K9" s="1" t="s">
        <v>38</v>
      </c>
    </row>
    <row r="10" spans="1:11" ht="54.95" customHeight="1" x14ac:dyDescent="0.25">
      <c r="A10" s="257">
        <v>9</v>
      </c>
      <c r="B10" s="1" t="s">
        <v>21</v>
      </c>
      <c r="C10" s="1" t="s">
        <v>18</v>
      </c>
      <c r="D10" s="1" t="s">
        <v>45</v>
      </c>
      <c r="E10" s="1">
        <f t="shared" si="0"/>
        <v>0.12</v>
      </c>
      <c r="F10" s="1">
        <f t="shared" si="1"/>
        <v>1200000</v>
      </c>
      <c r="G10" s="1">
        <v>24000</v>
      </c>
      <c r="H10" s="1" t="s">
        <v>12</v>
      </c>
      <c r="I10" s="1" t="s">
        <v>19</v>
      </c>
      <c r="J10" s="10" t="s">
        <v>44</v>
      </c>
      <c r="K10" s="1" t="s">
        <v>43</v>
      </c>
    </row>
    <row r="11" spans="1:11" ht="54.95" customHeight="1" x14ac:dyDescent="0.25">
      <c r="A11" s="257">
        <v>10</v>
      </c>
      <c r="B11" s="1" t="s">
        <v>21</v>
      </c>
      <c r="C11" s="1" t="s">
        <v>18</v>
      </c>
      <c r="D11" s="1" t="s">
        <v>47</v>
      </c>
      <c r="E11" s="1">
        <f t="shared" si="0"/>
        <v>0.12</v>
      </c>
      <c r="F11" s="1">
        <f t="shared" si="1"/>
        <v>1200000</v>
      </c>
      <c r="G11" s="1">
        <v>24000</v>
      </c>
      <c r="H11" s="1" t="s">
        <v>12</v>
      </c>
      <c r="I11" s="1" t="s">
        <v>19</v>
      </c>
      <c r="J11" s="11" t="s">
        <v>46</v>
      </c>
      <c r="K11" s="1" t="s">
        <v>43</v>
      </c>
    </row>
    <row r="12" spans="1:11" ht="54.95" customHeight="1" x14ac:dyDescent="0.25">
      <c r="A12" s="257">
        <v>11</v>
      </c>
      <c r="B12" s="1" t="s">
        <v>31</v>
      </c>
      <c r="C12" s="1" t="s">
        <v>29</v>
      </c>
      <c r="D12" s="1" t="s">
        <v>49</v>
      </c>
      <c r="E12" s="1">
        <f t="shared" si="0"/>
        <v>0.17899999999999999</v>
      </c>
      <c r="F12" s="266">
        <f>G12*50</f>
        <v>1790000</v>
      </c>
      <c r="G12" s="1">
        <v>35800</v>
      </c>
      <c r="H12" s="1" t="s">
        <v>12</v>
      </c>
      <c r="I12" s="1" t="s">
        <v>25</v>
      </c>
      <c r="J12" s="12" t="s">
        <v>48</v>
      </c>
      <c r="K12" s="1" t="s">
        <v>27</v>
      </c>
    </row>
    <row r="13" spans="1:11" ht="54.95" customHeight="1" x14ac:dyDescent="0.25">
      <c r="A13" s="257">
        <v>12</v>
      </c>
      <c r="B13" s="1" t="s">
        <v>54</v>
      </c>
      <c r="C13" s="1" t="s">
        <v>52</v>
      </c>
      <c r="D13" s="1" t="s">
        <v>53</v>
      </c>
      <c r="E13" s="1">
        <f t="shared" si="0"/>
        <v>0.18</v>
      </c>
      <c r="F13" s="1">
        <f t="shared" ref="F13:F14" si="2">G13*50</f>
        <v>1800000</v>
      </c>
      <c r="G13" s="1">
        <v>36000</v>
      </c>
      <c r="H13" s="1" t="s">
        <v>12</v>
      </c>
      <c r="I13" s="1" t="s">
        <v>19</v>
      </c>
      <c r="J13" s="13" t="s">
        <v>51</v>
      </c>
      <c r="K13" s="1" t="s">
        <v>50</v>
      </c>
    </row>
    <row r="14" spans="1:11" ht="54.95" customHeight="1" x14ac:dyDescent="0.25">
      <c r="A14" s="257">
        <v>13</v>
      </c>
      <c r="B14" s="1" t="s">
        <v>15</v>
      </c>
      <c r="C14" s="1" t="s">
        <v>57</v>
      </c>
      <c r="D14" s="1" t="s">
        <v>58</v>
      </c>
      <c r="E14" s="1">
        <f t="shared" si="0"/>
        <v>0.375</v>
      </c>
      <c r="F14" s="1">
        <f t="shared" si="2"/>
        <v>3750000</v>
      </c>
      <c r="G14" s="1">
        <v>75000</v>
      </c>
      <c r="H14" s="1" t="s">
        <v>12</v>
      </c>
      <c r="I14" s="1" t="s">
        <v>19</v>
      </c>
      <c r="J14" s="14" t="s">
        <v>56</v>
      </c>
      <c r="K14" s="1" t="s">
        <v>55</v>
      </c>
    </row>
    <row r="15" spans="1:11" ht="54.95" customHeight="1" x14ac:dyDescent="0.25">
      <c r="A15" s="257">
        <v>14</v>
      </c>
      <c r="B15" s="1" t="s">
        <v>15</v>
      </c>
      <c r="C15" s="1" t="s">
        <v>11</v>
      </c>
      <c r="D15" s="1" t="s">
        <v>60</v>
      </c>
      <c r="E15" s="1">
        <f t="shared" si="0"/>
        <v>0.13220000000000001</v>
      </c>
      <c r="F15" s="1">
        <v>1322000</v>
      </c>
      <c r="G15" s="1">
        <v>26000</v>
      </c>
      <c r="H15" s="1" t="s">
        <v>12</v>
      </c>
      <c r="I15" s="1" t="s">
        <v>13</v>
      </c>
      <c r="J15" s="15" t="s">
        <v>59</v>
      </c>
      <c r="K15" s="1" t="s">
        <v>9</v>
      </c>
    </row>
    <row r="16" spans="1:11" ht="54.95" customHeight="1" x14ac:dyDescent="0.25">
      <c r="A16" s="257">
        <v>15</v>
      </c>
      <c r="B16" s="1" t="s">
        <v>65</v>
      </c>
      <c r="C16" s="1" t="s">
        <v>63</v>
      </c>
      <c r="D16" s="1" t="s">
        <v>64</v>
      </c>
      <c r="E16" s="1">
        <f t="shared" si="0"/>
        <v>8.8300000000000003E-2</v>
      </c>
      <c r="F16" s="1">
        <v>883000</v>
      </c>
      <c r="G16" s="1">
        <f>F16*2%</f>
        <v>17660</v>
      </c>
      <c r="H16" s="1" t="s">
        <v>12</v>
      </c>
      <c r="I16" s="1" t="s">
        <v>25</v>
      </c>
      <c r="J16" s="16" t="s">
        <v>62</v>
      </c>
      <c r="K16" s="1" t="s">
        <v>61</v>
      </c>
    </row>
    <row r="17" spans="1:11" ht="54.95" customHeight="1" x14ac:dyDescent="0.25">
      <c r="A17" s="257">
        <v>16</v>
      </c>
      <c r="B17" s="1" t="s">
        <v>21</v>
      </c>
      <c r="C17" s="1" t="s">
        <v>18</v>
      </c>
      <c r="D17" s="1" t="s">
        <v>68</v>
      </c>
      <c r="E17" s="1">
        <f t="shared" si="0"/>
        <v>0.12</v>
      </c>
      <c r="F17" s="1">
        <f t="shared" ref="F17:F22" si="3">G17*50</f>
        <v>1200000</v>
      </c>
      <c r="G17" s="1">
        <v>24000</v>
      </c>
      <c r="H17" s="1" t="s">
        <v>12</v>
      </c>
      <c r="I17" s="1" t="s">
        <v>19</v>
      </c>
      <c r="J17" s="17" t="s">
        <v>67</v>
      </c>
      <c r="K17" s="1" t="s">
        <v>66</v>
      </c>
    </row>
    <row r="18" spans="1:11" ht="54.95" customHeight="1" x14ac:dyDescent="0.25">
      <c r="A18" s="257">
        <v>17</v>
      </c>
      <c r="B18" s="1" t="s">
        <v>72</v>
      </c>
      <c r="C18" s="1" t="s">
        <v>29</v>
      </c>
      <c r="D18" s="1" t="s">
        <v>71</v>
      </c>
      <c r="E18" s="1">
        <f t="shared" si="0"/>
        <v>0.05</v>
      </c>
      <c r="F18" s="1">
        <f t="shared" si="3"/>
        <v>500000</v>
      </c>
      <c r="G18" s="1">
        <v>10000</v>
      </c>
      <c r="H18" s="1" t="s">
        <v>12</v>
      </c>
      <c r="I18" s="1" t="s">
        <v>19</v>
      </c>
      <c r="J18" s="18" t="s">
        <v>70</v>
      </c>
      <c r="K18" s="1" t="s">
        <v>69</v>
      </c>
    </row>
    <row r="19" spans="1:11" ht="54.95" customHeight="1" x14ac:dyDescent="0.25">
      <c r="A19" s="257">
        <v>18</v>
      </c>
      <c r="B19" s="1" t="s">
        <v>72</v>
      </c>
      <c r="C19" s="1" t="s">
        <v>29</v>
      </c>
      <c r="D19" s="1" t="s">
        <v>75</v>
      </c>
      <c r="E19" s="1">
        <f t="shared" si="0"/>
        <v>0.05</v>
      </c>
      <c r="F19" s="1">
        <f t="shared" si="3"/>
        <v>500000</v>
      </c>
      <c r="G19" s="1">
        <v>10000</v>
      </c>
      <c r="H19" s="1" t="s">
        <v>12</v>
      </c>
      <c r="I19" s="1" t="s">
        <v>19</v>
      </c>
      <c r="J19" s="19" t="s">
        <v>74</v>
      </c>
      <c r="K19" s="1" t="s">
        <v>73</v>
      </c>
    </row>
    <row r="20" spans="1:11" ht="54.95" customHeight="1" x14ac:dyDescent="0.25">
      <c r="A20" s="257">
        <v>19</v>
      </c>
      <c r="B20" s="1" t="s">
        <v>21</v>
      </c>
      <c r="C20" s="1" t="s">
        <v>18</v>
      </c>
      <c r="D20" s="1" t="s">
        <v>77</v>
      </c>
      <c r="E20" s="1">
        <f t="shared" si="0"/>
        <v>0.12</v>
      </c>
      <c r="F20" s="1">
        <f t="shared" si="3"/>
        <v>1200000</v>
      </c>
      <c r="G20" s="1">
        <v>24000</v>
      </c>
      <c r="H20" s="1" t="s">
        <v>12</v>
      </c>
      <c r="I20" s="1" t="s">
        <v>19</v>
      </c>
      <c r="J20" s="20" t="s">
        <v>76</v>
      </c>
      <c r="K20" s="1" t="s">
        <v>16</v>
      </c>
    </row>
    <row r="21" spans="1:11" ht="54.95" customHeight="1" x14ac:dyDescent="0.25">
      <c r="A21" s="257">
        <v>20</v>
      </c>
      <c r="B21" s="1" t="s">
        <v>72</v>
      </c>
      <c r="C21" s="1" t="s">
        <v>29</v>
      </c>
      <c r="D21" s="1" t="s">
        <v>80</v>
      </c>
      <c r="E21" s="1">
        <f t="shared" si="0"/>
        <v>0.05</v>
      </c>
      <c r="F21" s="1">
        <f t="shared" si="3"/>
        <v>500000</v>
      </c>
      <c r="G21" s="1">
        <v>10000</v>
      </c>
      <c r="H21" s="1" t="s">
        <v>12</v>
      </c>
      <c r="I21" s="1" t="s">
        <v>19</v>
      </c>
      <c r="J21" s="21" t="s">
        <v>79</v>
      </c>
      <c r="K21" s="1" t="s">
        <v>78</v>
      </c>
    </row>
    <row r="22" spans="1:11" ht="54.95" customHeight="1" x14ac:dyDescent="0.25">
      <c r="A22" s="257">
        <v>21</v>
      </c>
      <c r="B22" s="1" t="s">
        <v>21</v>
      </c>
      <c r="C22" s="1" t="s">
        <v>18</v>
      </c>
      <c r="D22" s="1" t="s">
        <v>82</v>
      </c>
      <c r="E22" s="1">
        <f t="shared" si="0"/>
        <v>0.12</v>
      </c>
      <c r="F22" s="1">
        <f t="shared" si="3"/>
        <v>1200000</v>
      </c>
      <c r="G22" s="1">
        <v>24000</v>
      </c>
      <c r="H22" s="1" t="s">
        <v>12</v>
      </c>
      <c r="I22" s="1" t="s">
        <v>19</v>
      </c>
      <c r="J22" s="22" t="s">
        <v>81</v>
      </c>
      <c r="K22" s="1" t="s">
        <v>66</v>
      </c>
    </row>
    <row r="23" spans="1:11" ht="54.95" customHeight="1" x14ac:dyDescent="0.25">
      <c r="A23" s="257">
        <v>22</v>
      </c>
      <c r="B23" s="1" t="s">
        <v>65</v>
      </c>
      <c r="C23" s="1" t="s">
        <v>63</v>
      </c>
      <c r="D23" s="1" t="s">
        <v>85</v>
      </c>
      <c r="E23" s="1">
        <f t="shared" si="0"/>
        <v>8.8300000000000003E-2</v>
      </c>
      <c r="F23" s="1">
        <v>883000</v>
      </c>
      <c r="G23" s="1">
        <f>F23*2%</f>
        <v>17660</v>
      </c>
      <c r="H23" s="1" t="s">
        <v>12</v>
      </c>
      <c r="I23" s="1" t="s">
        <v>25</v>
      </c>
      <c r="J23" s="23" t="s">
        <v>84</v>
      </c>
      <c r="K23" s="1" t="s">
        <v>83</v>
      </c>
    </row>
    <row r="24" spans="1:11" ht="54.95" customHeight="1" x14ac:dyDescent="0.25">
      <c r="A24" s="257">
        <v>23</v>
      </c>
      <c r="B24" s="1" t="s">
        <v>54</v>
      </c>
      <c r="C24" s="1" t="s">
        <v>88</v>
      </c>
      <c r="D24" s="1" t="s">
        <v>90</v>
      </c>
      <c r="E24" s="1">
        <f t="shared" si="0"/>
        <v>0</v>
      </c>
      <c r="F24" s="1">
        <v>0</v>
      </c>
      <c r="G24" s="1">
        <v>0</v>
      </c>
      <c r="H24" s="1" t="s">
        <v>12</v>
      </c>
      <c r="I24" s="1" t="s">
        <v>89</v>
      </c>
      <c r="J24" s="24" t="s">
        <v>87</v>
      </c>
      <c r="K24" s="1" t="s">
        <v>86</v>
      </c>
    </row>
    <row r="25" spans="1:11" ht="54.95" customHeight="1" x14ac:dyDescent="0.25">
      <c r="A25" s="257">
        <v>24</v>
      </c>
      <c r="B25" s="1" t="s">
        <v>22</v>
      </c>
      <c r="C25" s="1" t="s">
        <v>88</v>
      </c>
      <c r="D25" s="1" t="s">
        <v>95</v>
      </c>
      <c r="E25" s="1">
        <f t="shared" si="0"/>
        <v>0</v>
      </c>
      <c r="F25" s="1">
        <v>0</v>
      </c>
      <c r="G25" s="1">
        <v>0</v>
      </c>
      <c r="H25" s="1" t="s">
        <v>93</v>
      </c>
      <c r="I25" s="1" t="s">
        <v>94</v>
      </c>
      <c r="J25" s="25" t="s">
        <v>92</v>
      </c>
      <c r="K25" s="1" t="s">
        <v>91</v>
      </c>
    </row>
    <row r="26" spans="1:11" ht="54.95" customHeight="1" x14ac:dyDescent="0.25">
      <c r="A26" s="257">
        <v>25</v>
      </c>
      <c r="B26" s="1" t="s">
        <v>22</v>
      </c>
      <c r="C26" s="1" t="s">
        <v>18</v>
      </c>
      <c r="D26" s="1" t="s">
        <v>97</v>
      </c>
      <c r="E26" s="1">
        <f t="shared" si="0"/>
        <v>0.22</v>
      </c>
      <c r="F26" s="1">
        <f t="shared" ref="F26:F27" si="4">G26*50</f>
        <v>2200000</v>
      </c>
      <c r="G26" s="1">
        <v>44000</v>
      </c>
      <c r="H26" s="1" t="s">
        <v>93</v>
      </c>
      <c r="I26" s="1" t="s">
        <v>19</v>
      </c>
      <c r="J26" s="26" t="s">
        <v>96</v>
      </c>
      <c r="K26" s="1" t="s">
        <v>23</v>
      </c>
    </row>
    <row r="27" spans="1:11" ht="54.95" customHeight="1" x14ac:dyDescent="0.25">
      <c r="A27" s="257">
        <v>26</v>
      </c>
      <c r="B27" s="1" t="s">
        <v>101</v>
      </c>
      <c r="C27" s="1" t="s">
        <v>18</v>
      </c>
      <c r="D27" s="1" t="s">
        <v>100</v>
      </c>
      <c r="E27" s="1">
        <f t="shared" si="0"/>
        <v>0.22500000000000001</v>
      </c>
      <c r="F27" s="1">
        <f t="shared" si="4"/>
        <v>2250000</v>
      </c>
      <c r="G27" s="1">
        <v>45000</v>
      </c>
      <c r="H27" s="1" t="s">
        <v>93</v>
      </c>
      <c r="I27" s="1" t="s">
        <v>13</v>
      </c>
      <c r="J27" s="27" t="s">
        <v>99</v>
      </c>
      <c r="K27" s="1" t="s">
        <v>98</v>
      </c>
    </row>
    <row r="28" spans="1:11" ht="54.95" customHeight="1" x14ac:dyDescent="0.25">
      <c r="A28" s="257">
        <v>27</v>
      </c>
      <c r="B28" s="1" t="s">
        <v>101</v>
      </c>
      <c r="C28" s="1" t="s">
        <v>18</v>
      </c>
      <c r="D28" s="1" t="s">
        <v>104</v>
      </c>
      <c r="E28" s="1">
        <f t="shared" si="0"/>
        <v>0</v>
      </c>
      <c r="F28" s="1">
        <v>0</v>
      </c>
      <c r="G28" s="1">
        <v>0</v>
      </c>
      <c r="H28" s="1" t="s">
        <v>93</v>
      </c>
      <c r="I28" s="1" t="s">
        <v>89</v>
      </c>
      <c r="J28" s="28" t="s">
        <v>103</v>
      </c>
      <c r="K28" s="1" t="s">
        <v>102</v>
      </c>
    </row>
    <row r="29" spans="1:11" ht="54.95" customHeight="1" x14ac:dyDescent="0.25">
      <c r="A29" s="257">
        <v>28</v>
      </c>
      <c r="B29" s="1" t="s">
        <v>101</v>
      </c>
      <c r="C29" s="1" t="s">
        <v>18</v>
      </c>
      <c r="D29" s="1" t="s">
        <v>107</v>
      </c>
      <c r="E29" s="1">
        <f t="shared" si="0"/>
        <v>0.22500000000000001</v>
      </c>
      <c r="F29" s="1">
        <f t="shared" ref="F29:F32" si="5">G29*50</f>
        <v>2250000</v>
      </c>
      <c r="G29" s="1">
        <v>45000</v>
      </c>
      <c r="H29" s="1" t="s">
        <v>93</v>
      </c>
      <c r="I29" s="1" t="s">
        <v>13</v>
      </c>
      <c r="J29" s="29" t="s">
        <v>106</v>
      </c>
      <c r="K29" s="1" t="s">
        <v>105</v>
      </c>
    </row>
    <row r="30" spans="1:11" ht="54.95" customHeight="1" x14ac:dyDescent="0.25">
      <c r="A30" s="257">
        <v>29</v>
      </c>
      <c r="B30" s="1" t="s">
        <v>72</v>
      </c>
      <c r="C30" s="1" t="s">
        <v>29</v>
      </c>
      <c r="D30" s="1" t="s">
        <v>112</v>
      </c>
      <c r="E30" s="1">
        <f t="shared" si="0"/>
        <v>0.15</v>
      </c>
      <c r="F30" s="1">
        <f t="shared" si="5"/>
        <v>1500000</v>
      </c>
      <c r="G30" s="1">
        <v>30000</v>
      </c>
      <c r="H30" s="1" t="s">
        <v>110</v>
      </c>
      <c r="I30" s="1" t="s">
        <v>111</v>
      </c>
      <c r="J30" s="30" t="s">
        <v>109</v>
      </c>
      <c r="K30" s="1" t="s">
        <v>108</v>
      </c>
    </row>
    <row r="31" spans="1:11" ht="54.95" customHeight="1" x14ac:dyDescent="0.25">
      <c r="A31" s="257">
        <v>30</v>
      </c>
      <c r="B31" s="1" t="s">
        <v>15</v>
      </c>
      <c r="C31" s="1" t="s">
        <v>18</v>
      </c>
      <c r="D31" s="1" t="s">
        <v>115</v>
      </c>
      <c r="E31" s="1">
        <f t="shared" si="0"/>
        <v>4.65E-2</v>
      </c>
      <c r="F31" s="1">
        <f t="shared" si="5"/>
        <v>465000</v>
      </c>
      <c r="G31" s="1">
        <v>9300</v>
      </c>
      <c r="H31" s="1" t="s">
        <v>93</v>
      </c>
      <c r="I31" s="1" t="s">
        <v>25</v>
      </c>
      <c r="J31" s="31" t="s">
        <v>114</v>
      </c>
      <c r="K31" s="1" t="s">
        <v>113</v>
      </c>
    </row>
    <row r="32" spans="1:11" ht="54.95" customHeight="1" x14ac:dyDescent="0.25">
      <c r="A32" s="257">
        <v>31</v>
      </c>
      <c r="B32" s="1" t="s">
        <v>22</v>
      </c>
      <c r="C32" s="1" t="s">
        <v>18</v>
      </c>
      <c r="D32" s="1" t="s">
        <v>97</v>
      </c>
      <c r="E32" s="1">
        <f t="shared" si="0"/>
        <v>0.22</v>
      </c>
      <c r="F32" s="1">
        <f t="shared" si="5"/>
        <v>2200000</v>
      </c>
      <c r="G32" s="1">
        <v>44000</v>
      </c>
      <c r="H32" s="1" t="s">
        <v>93</v>
      </c>
      <c r="I32" s="1" t="s">
        <v>19</v>
      </c>
      <c r="J32" s="32" t="s">
        <v>117</v>
      </c>
      <c r="K32" s="1" t="s">
        <v>116</v>
      </c>
    </row>
    <row r="33" spans="1:11" ht="54.95" customHeight="1" x14ac:dyDescent="0.25">
      <c r="A33" s="257">
        <v>32</v>
      </c>
      <c r="B33" s="1" t="s">
        <v>101</v>
      </c>
      <c r="C33" s="1" t="s">
        <v>18</v>
      </c>
      <c r="D33" s="1" t="s">
        <v>120</v>
      </c>
      <c r="E33" s="1">
        <f t="shared" si="0"/>
        <v>0</v>
      </c>
      <c r="F33" s="1">
        <v>0</v>
      </c>
      <c r="G33" s="1">
        <v>0</v>
      </c>
      <c r="H33" s="1" t="s">
        <v>93</v>
      </c>
      <c r="I33" s="1" t="s">
        <v>89</v>
      </c>
      <c r="J33" s="33" t="s">
        <v>119</v>
      </c>
      <c r="K33" s="1" t="s">
        <v>118</v>
      </c>
    </row>
    <row r="34" spans="1:11" ht="54.95" customHeight="1" x14ac:dyDescent="0.25">
      <c r="A34" s="257">
        <v>33</v>
      </c>
      <c r="B34" s="1" t="s">
        <v>22</v>
      </c>
      <c r="C34" s="1" t="s">
        <v>18</v>
      </c>
      <c r="D34" s="1" t="s">
        <v>97</v>
      </c>
      <c r="E34" s="1">
        <f t="shared" si="0"/>
        <v>0.09</v>
      </c>
      <c r="F34" s="1">
        <f>G34*50</f>
        <v>900000</v>
      </c>
      <c r="G34" s="1">
        <v>18000</v>
      </c>
      <c r="H34" s="1" t="s">
        <v>93</v>
      </c>
      <c r="I34" s="1" t="s">
        <v>19</v>
      </c>
      <c r="J34" s="34" t="s">
        <v>121</v>
      </c>
      <c r="K34" s="1" t="s">
        <v>35</v>
      </c>
    </row>
    <row r="35" spans="1:11" ht="54.95" customHeight="1" x14ac:dyDescent="0.25">
      <c r="A35" s="257">
        <v>34</v>
      </c>
      <c r="B35" s="1" t="s">
        <v>125</v>
      </c>
      <c r="C35" s="1" t="s">
        <v>18</v>
      </c>
      <c r="D35" s="1" t="s">
        <v>124</v>
      </c>
      <c r="E35" s="1">
        <f t="shared" si="0"/>
        <v>0</v>
      </c>
      <c r="F35" s="1">
        <v>0</v>
      </c>
      <c r="G35" s="1">
        <v>0</v>
      </c>
      <c r="H35" s="1" t="s">
        <v>93</v>
      </c>
      <c r="I35" s="1" t="s">
        <v>25</v>
      </c>
      <c r="J35" s="35" t="s">
        <v>123</v>
      </c>
      <c r="K35" s="1" t="s">
        <v>122</v>
      </c>
    </row>
    <row r="36" spans="1:11" ht="54.95" customHeight="1" x14ac:dyDescent="0.25">
      <c r="A36" s="257">
        <v>35</v>
      </c>
      <c r="B36" s="1" t="s">
        <v>54</v>
      </c>
      <c r="C36" s="1" t="s">
        <v>63</v>
      </c>
      <c r="D36" s="1" t="s">
        <v>129</v>
      </c>
      <c r="E36" s="1">
        <f t="shared" si="0"/>
        <v>8.7499999999999994E-2</v>
      </c>
      <c r="F36" s="1">
        <v>875000</v>
      </c>
      <c r="G36" s="1">
        <f>F36*2%</f>
        <v>17500</v>
      </c>
      <c r="H36" s="1" t="s">
        <v>12</v>
      </c>
      <c r="I36" s="1" t="s">
        <v>128</v>
      </c>
      <c r="J36" s="36" t="s">
        <v>127</v>
      </c>
      <c r="K36" s="1" t="s">
        <v>126</v>
      </c>
    </row>
    <row r="37" spans="1:11" ht="54.95" customHeight="1" x14ac:dyDescent="0.25">
      <c r="A37" s="257">
        <v>36</v>
      </c>
      <c r="B37" s="1" t="s">
        <v>125</v>
      </c>
      <c r="C37" s="1" t="s">
        <v>18</v>
      </c>
      <c r="D37" s="1" t="s">
        <v>132</v>
      </c>
      <c r="E37" s="1">
        <f t="shared" si="0"/>
        <v>0</v>
      </c>
      <c r="F37" s="1">
        <v>0</v>
      </c>
      <c r="G37" s="1">
        <v>0</v>
      </c>
      <c r="H37" s="1" t="s">
        <v>93</v>
      </c>
      <c r="I37" s="1" t="s">
        <v>25</v>
      </c>
      <c r="J37" s="37" t="s">
        <v>131</v>
      </c>
      <c r="K37" s="1" t="s">
        <v>130</v>
      </c>
    </row>
    <row r="38" spans="1:11" ht="54.95" customHeight="1" x14ac:dyDescent="0.25">
      <c r="A38" s="257">
        <v>37</v>
      </c>
      <c r="B38" s="1" t="s">
        <v>54</v>
      </c>
      <c r="C38" s="1" t="s">
        <v>63</v>
      </c>
      <c r="D38" s="1" t="s">
        <v>136</v>
      </c>
      <c r="E38" s="1">
        <f t="shared" si="0"/>
        <v>8.3199999999999996E-2</v>
      </c>
      <c r="F38" s="1">
        <v>832000</v>
      </c>
      <c r="G38" s="1">
        <f>F38*2%</f>
        <v>16640</v>
      </c>
      <c r="H38" s="1" t="s">
        <v>93</v>
      </c>
      <c r="I38" s="1" t="s">
        <v>135</v>
      </c>
      <c r="J38" s="38" t="s">
        <v>134</v>
      </c>
      <c r="K38" s="1" t="s">
        <v>133</v>
      </c>
    </row>
    <row r="39" spans="1:11" ht="54.95" customHeight="1" x14ac:dyDescent="0.25">
      <c r="A39" s="257">
        <v>38</v>
      </c>
      <c r="B39" s="1" t="s">
        <v>141</v>
      </c>
      <c r="C39" s="1" t="s">
        <v>139</v>
      </c>
      <c r="D39" s="1" t="s">
        <v>140</v>
      </c>
      <c r="E39" s="1">
        <f t="shared" si="0"/>
        <v>0</v>
      </c>
      <c r="F39" s="1">
        <v>0</v>
      </c>
      <c r="G39" s="1">
        <v>0</v>
      </c>
      <c r="H39" s="1" t="s">
        <v>93</v>
      </c>
      <c r="I39" s="1" t="s">
        <v>19</v>
      </c>
      <c r="J39" s="39" t="s">
        <v>138</v>
      </c>
      <c r="K39" s="1" t="s">
        <v>137</v>
      </c>
    </row>
    <row r="40" spans="1:11" ht="54.95" customHeight="1" x14ac:dyDescent="0.25">
      <c r="A40" s="257">
        <v>39</v>
      </c>
      <c r="B40" s="1" t="s">
        <v>147</v>
      </c>
      <c r="C40" s="1" t="s">
        <v>144</v>
      </c>
      <c r="D40" s="1" t="s">
        <v>146</v>
      </c>
      <c r="E40" s="1">
        <f t="shared" si="0"/>
        <v>0.1</v>
      </c>
      <c r="F40" s="1">
        <v>1000000</v>
      </c>
      <c r="G40" s="1">
        <v>30000</v>
      </c>
      <c r="H40" s="1" t="s">
        <v>93</v>
      </c>
      <c r="I40" s="1" t="s">
        <v>145</v>
      </c>
      <c r="J40" s="40" t="s">
        <v>143</v>
      </c>
      <c r="K40" s="1" t="s">
        <v>142</v>
      </c>
    </row>
    <row r="41" spans="1:11" ht="54.95" customHeight="1" x14ac:dyDescent="0.25">
      <c r="A41" s="257">
        <v>40</v>
      </c>
      <c r="B41" s="1" t="s">
        <v>54</v>
      </c>
      <c r="C41" s="1" t="s">
        <v>63</v>
      </c>
      <c r="D41" s="1" t="s">
        <v>150</v>
      </c>
      <c r="E41" s="1">
        <f t="shared" si="0"/>
        <v>8.3199999999999996E-2</v>
      </c>
      <c r="F41" s="1">
        <v>832000</v>
      </c>
      <c r="G41" s="1">
        <f>F41*2%</f>
        <v>16640</v>
      </c>
      <c r="H41" s="1" t="s">
        <v>93</v>
      </c>
      <c r="I41" s="1" t="s">
        <v>135</v>
      </c>
      <c r="J41" s="41" t="s">
        <v>149</v>
      </c>
      <c r="K41" s="1" t="s">
        <v>148</v>
      </c>
    </row>
    <row r="42" spans="1:11" ht="54.95" customHeight="1" x14ac:dyDescent="0.25">
      <c r="A42" s="257">
        <v>41</v>
      </c>
      <c r="B42" s="1" t="s">
        <v>141</v>
      </c>
      <c r="C42" s="1" t="s">
        <v>153</v>
      </c>
      <c r="D42" s="1" t="s">
        <v>154</v>
      </c>
      <c r="E42" s="1">
        <f t="shared" si="0"/>
        <v>7.4999999999999997E-2</v>
      </c>
      <c r="F42" s="1">
        <f>G42*50</f>
        <v>750000</v>
      </c>
      <c r="G42" s="1">
        <v>15000</v>
      </c>
      <c r="H42" s="1" t="s">
        <v>110</v>
      </c>
      <c r="I42" s="1" t="s">
        <v>25</v>
      </c>
      <c r="J42" s="42" t="s">
        <v>152</v>
      </c>
      <c r="K42" s="1" t="s">
        <v>151</v>
      </c>
    </row>
    <row r="43" spans="1:11" ht="54.95" customHeight="1" x14ac:dyDescent="0.25">
      <c r="A43" s="257">
        <v>42</v>
      </c>
      <c r="B43" s="1" t="s">
        <v>72</v>
      </c>
      <c r="C43" s="1" t="s">
        <v>156</v>
      </c>
      <c r="D43" s="1" t="s">
        <v>158</v>
      </c>
      <c r="E43" s="1">
        <f t="shared" si="0"/>
        <v>0.1525</v>
      </c>
      <c r="F43" s="1">
        <v>1525000</v>
      </c>
      <c r="G43" s="1">
        <f>F43*2%</f>
        <v>30500</v>
      </c>
      <c r="H43" s="1" t="s">
        <v>157</v>
      </c>
      <c r="I43" s="1" t="s">
        <v>111</v>
      </c>
      <c r="J43" s="43" t="s">
        <v>155</v>
      </c>
      <c r="K43" s="1" t="s">
        <v>155</v>
      </c>
    </row>
    <row r="44" spans="1:11" ht="54.95" customHeight="1" x14ac:dyDescent="0.25">
      <c r="A44" s="257">
        <v>43</v>
      </c>
      <c r="B44" s="1" t="s">
        <v>21</v>
      </c>
      <c r="C44" s="1" t="s">
        <v>18</v>
      </c>
      <c r="D44" s="1" t="s">
        <v>161</v>
      </c>
      <c r="E44" s="1">
        <f t="shared" si="0"/>
        <v>0.12709999999999999</v>
      </c>
      <c r="F44" s="1">
        <v>1271000</v>
      </c>
      <c r="G44" s="1">
        <v>39000</v>
      </c>
      <c r="H44" s="1" t="s">
        <v>12</v>
      </c>
      <c r="I44" s="1" t="s">
        <v>25</v>
      </c>
      <c r="J44" s="44" t="s">
        <v>160</v>
      </c>
      <c r="K44" s="1" t="s">
        <v>159</v>
      </c>
    </row>
    <row r="45" spans="1:11" ht="54.95" customHeight="1" x14ac:dyDescent="0.25">
      <c r="A45" s="257">
        <v>44</v>
      </c>
      <c r="B45" s="1" t="s">
        <v>72</v>
      </c>
      <c r="C45" s="1" t="s">
        <v>164</v>
      </c>
      <c r="D45" s="1" t="s">
        <v>166</v>
      </c>
      <c r="E45" s="1">
        <f t="shared" si="0"/>
        <v>0.17</v>
      </c>
      <c r="F45" s="1">
        <v>1700000</v>
      </c>
      <c r="G45" s="1">
        <v>34000</v>
      </c>
      <c r="H45" s="1" t="s">
        <v>165</v>
      </c>
      <c r="I45" s="1" t="s">
        <v>111</v>
      </c>
      <c r="J45" s="45" t="s">
        <v>163</v>
      </c>
      <c r="K45" s="1" t="s">
        <v>162</v>
      </c>
    </row>
    <row r="46" spans="1:11" ht="54.95" customHeight="1" x14ac:dyDescent="0.25">
      <c r="A46" s="257">
        <v>45</v>
      </c>
      <c r="B46" s="1" t="s">
        <v>72</v>
      </c>
      <c r="C46" s="1" t="s">
        <v>63</v>
      </c>
      <c r="D46" s="1" t="s">
        <v>170</v>
      </c>
      <c r="E46" s="1">
        <f t="shared" si="0"/>
        <v>0.16649999999999998</v>
      </c>
      <c r="F46" s="1">
        <v>1664999.9999999998</v>
      </c>
      <c r="G46" s="1">
        <f t="shared" ref="G46:G48" si="6">F46*2%</f>
        <v>33299.999999999993</v>
      </c>
      <c r="H46" s="1" t="s">
        <v>110</v>
      </c>
      <c r="I46" s="1" t="s">
        <v>169</v>
      </c>
      <c r="J46" s="46" t="s">
        <v>168</v>
      </c>
      <c r="K46" s="1" t="s">
        <v>167</v>
      </c>
    </row>
    <row r="47" spans="1:11" ht="54.95" customHeight="1" x14ac:dyDescent="0.25">
      <c r="A47" s="257">
        <v>46</v>
      </c>
      <c r="B47" s="1" t="s">
        <v>72</v>
      </c>
      <c r="C47" s="1" t="s">
        <v>63</v>
      </c>
      <c r="D47" s="1" t="s">
        <v>173</v>
      </c>
      <c r="E47" s="1">
        <f t="shared" si="0"/>
        <v>0.16649999999999998</v>
      </c>
      <c r="F47" s="1">
        <v>1664999.9999999998</v>
      </c>
      <c r="G47" s="1">
        <f t="shared" si="6"/>
        <v>33299.999999999993</v>
      </c>
      <c r="H47" s="1" t="s">
        <v>110</v>
      </c>
      <c r="I47" s="1" t="s">
        <v>169</v>
      </c>
      <c r="J47" s="47" t="s">
        <v>172</v>
      </c>
      <c r="K47" s="1" t="s">
        <v>171</v>
      </c>
    </row>
    <row r="48" spans="1:11" ht="54.95" customHeight="1" x14ac:dyDescent="0.25">
      <c r="A48" s="257">
        <v>47</v>
      </c>
      <c r="B48" s="1" t="s">
        <v>21</v>
      </c>
      <c r="C48" s="1" t="s">
        <v>164</v>
      </c>
      <c r="D48" s="1" t="s">
        <v>176</v>
      </c>
      <c r="E48" s="1">
        <f t="shared" si="0"/>
        <v>1E-3</v>
      </c>
      <c r="F48" s="1">
        <v>10000</v>
      </c>
      <c r="G48" s="1">
        <f t="shared" si="6"/>
        <v>200</v>
      </c>
      <c r="H48" s="1" t="s">
        <v>110</v>
      </c>
      <c r="I48" s="1" t="s">
        <v>89</v>
      </c>
      <c r="J48" s="48" t="s">
        <v>175</v>
      </c>
      <c r="K48" s="1" t="s">
        <v>174</v>
      </c>
    </row>
    <row r="49" spans="1:11" ht="54.95" customHeight="1" x14ac:dyDescent="0.25">
      <c r="A49" s="257">
        <v>48</v>
      </c>
      <c r="B49" s="1" t="s">
        <v>72</v>
      </c>
      <c r="C49" s="1" t="s">
        <v>164</v>
      </c>
      <c r="D49" s="1" t="s">
        <v>178</v>
      </c>
      <c r="E49" s="1">
        <f t="shared" si="0"/>
        <v>0.16300000000000001</v>
      </c>
      <c r="F49" s="1">
        <v>1630000</v>
      </c>
      <c r="G49" s="1">
        <v>33000</v>
      </c>
      <c r="H49" s="1" t="s">
        <v>165</v>
      </c>
      <c r="I49" s="1" t="s">
        <v>111</v>
      </c>
      <c r="J49" s="49" t="s">
        <v>177</v>
      </c>
      <c r="K49" s="1" t="s">
        <v>162</v>
      </c>
    </row>
    <row r="50" spans="1:11" ht="54.95" customHeight="1" x14ac:dyDescent="0.25">
      <c r="A50" s="257">
        <v>49</v>
      </c>
      <c r="B50" s="1" t="s">
        <v>183</v>
      </c>
      <c r="C50" s="1" t="s">
        <v>29</v>
      </c>
      <c r="D50" s="1" t="s">
        <v>182</v>
      </c>
      <c r="E50" s="1">
        <f t="shared" si="0"/>
        <v>5.0000000000000001E-3</v>
      </c>
      <c r="F50" s="1">
        <f>G50*50</f>
        <v>50000</v>
      </c>
      <c r="G50" s="1">
        <v>1000</v>
      </c>
      <c r="H50" s="1" t="s">
        <v>110</v>
      </c>
      <c r="I50" s="1" t="s">
        <v>181</v>
      </c>
      <c r="J50" s="50" t="s">
        <v>180</v>
      </c>
      <c r="K50" s="1" t="s">
        <v>179</v>
      </c>
    </row>
    <row r="51" spans="1:11" ht="54.95" customHeight="1" x14ac:dyDescent="0.25">
      <c r="A51" s="257">
        <v>50</v>
      </c>
      <c r="B51" s="1" t="s">
        <v>21</v>
      </c>
      <c r="C51" s="1" t="s">
        <v>164</v>
      </c>
      <c r="D51" s="1" t="s">
        <v>185</v>
      </c>
      <c r="E51" s="1">
        <f t="shared" si="0"/>
        <v>1E-3</v>
      </c>
      <c r="F51" s="1">
        <v>10000</v>
      </c>
      <c r="G51" s="1">
        <f t="shared" ref="G51:G52" si="7">F51*2%</f>
        <v>200</v>
      </c>
      <c r="H51" s="1" t="s">
        <v>110</v>
      </c>
      <c r="I51" s="1" t="s">
        <v>89</v>
      </c>
      <c r="J51" s="51" t="s">
        <v>184</v>
      </c>
      <c r="K51" s="1" t="s">
        <v>174</v>
      </c>
    </row>
    <row r="52" spans="1:11" ht="54.95" customHeight="1" x14ac:dyDescent="0.25">
      <c r="A52" s="257">
        <v>51</v>
      </c>
      <c r="B52" s="1" t="s">
        <v>21</v>
      </c>
      <c r="C52" s="1" t="s">
        <v>164</v>
      </c>
      <c r="D52" s="1" t="s">
        <v>187</v>
      </c>
      <c r="E52" s="1">
        <f t="shared" si="0"/>
        <v>1E-3</v>
      </c>
      <c r="F52" s="1">
        <v>10000</v>
      </c>
      <c r="G52" s="1">
        <f t="shared" si="7"/>
        <v>200</v>
      </c>
      <c r="H52" s="1" t="s">
        <v>110</v>
      </c>
      <c r="I52" s="1" t="s">
        <v>89</v>
      </c>
      <c r="J52" s="52" t="s">
        <v>186</v>
      </c>
      <c r="K52" s="1" t="s">
        <v>174</v>
      </c>
    </row>
    <row r="53" spans="1:11" ht="54.95" customHeight="1" x14ac:dyDescent="0.25">
      <c r="A53" s="257">
        <v>52</v>
      </c>
      <c r="B53" s="1" t="s">
        <v>183</v>
      </c>
      <c r="C53" s="1" t="s">
        <v>29</v>
      </c>
      <c r="D53" s="1" t="s">
        <v>189</v>
      </c>
      <c r="E53" s="1">
        <f t="shared" si="0"/>
        <v>2.5000000000000001E-2</v>
      </c>
      <c r="F53" s="1">
        <f>G53*50</f>
        <v>250000</v>
      </c>
      <c r="G53" s="1">
        <v>5000</v>
      </c>
      <c r="H53" s="1" t="s">
        <v>110</v>
      </c>
      <c r="I53" s="1" t="s">
        <v>181</v>
      </c>
      <c r="J53" s="53" t="s">
        <v>188</v>
      </c>
      <c r="K53" s="1" t="s">
        <v>179</v>
      </c>
    </row>
    <row r="54" spans="1:11" ht="54.95" customHeight="1" x14ac:dyDescent="0.25">
      <c r="A54" s="257">
        <v>53</v>
      </c>
      <c r="B54" s="1" t="s">
        <v>21</v>
      </c>
      <c r="C54" s="1" t="s">
        <v>164</v>
      </c>
      <c r="D54" s="1" t="s">
        <v>191</v>
      </c>
      <c r="E54" s="1">
        <f t="shared" si="0"/>
        <v>1E-3</v>
      </c>
      <c r="F54" s="1">
        <v>10000</v>
      </c>
      <c r="G54" s="1">
        <f t="shared" ref="G54:G57" si="8">F54*2%</f>
        <v>200</v>
      </c>
      <c r="H54" s="1" t="s">
        <v>110</v>
      </c>
      <c r="I54" s="1" t="s">
        <v>89</v>
      </c>
      <c r="J54" s="54" t="s">
        <v>190</v>
      </c>
      <c r="K54" s="1" t="s">
        <v>174</v>
      </c>
    </row>
    <row r="55" spans="1:11" ht="54.95" customHeight="1" x14ac:dyDescent="0.25">
      <c r="A55" s="257">
        <v>54</v>
      </c>
      <c r="B55" s="1" t="s">
        <v>21</v>
      </c>
      <c r="C55" s="1" t="s">
        <v>164</v>
      </c>
      <c r="D55" s="1" t="s">
        <v>193</v>
      </c>
      <c r="E55" s="1">
        <f t="shared" si="0"/>
        <v>5.0000000000000001E-4</v>
      </c>
      <c r="F55" s="1">
        <v>5000</v>
      </c>
      <c r="G55" s="1">
        <f t="shared" si="8"/>
        <v>100</v>
      </c>
      <c r="H55" s="1" t="s">
        <v>110</v>
      </c>
      <c r="I55" s="1" t="s">
        <v>89</v>
      </c>
      <c r="J55" s="55" t="s">
        <v>192</v>
      </c>
      <c r="K55" s="1" t="s">
        <v>174</v>
      </c>
    </row>
    <row r="56" spans="1:11" ht="54.95" customHeight="1" x14ac:dyDescent="0.25">
      <c r="A56" s="257">
        <v>55</v>
      </c>
      <c r="B56" s="1" t="s">
        <v>21</v>
      </c>
      <c r="C56" s="1" t="s">
        <v>164</v>
      </c>
      <c r="D56" s="1" t="s">
        <v>195</v>
      </c>
      <c r="E56" s="1">
        <f t="shared" si="0"/>
        <v>1E-3</v>
      </c>
      <c r="F56" s="1">
        <v>10000</v>
      </c>
      <c r="G56" s="1">
        <f t="shared" si="8"/>
        <v>200</v>
      </c>
      <c r="H56" s="1" t="s">
        <v>110</v>
      </c>
      <c r="I56" s="1" t="s">
        <v>89</v>
      </c>
      <c r="J56" s="56" t="s">
        <v>194</v>
      </c>
      <c r="K56" s="1" t="s">
        <v>174</v>
      </c>
    </row>
    <row r="57" spans="1:11" ht="54.95" customHeight="1" x14ac:dyDescent="0.25">
      <c r="A57" s="257">
        <v>56</v>
      </c>
      <c r="B57" s="1" t="s">
        <v>21</v>
      </c>
      <c r="C57" s="1" t="s">
        <v>164</v>
      </c>
      <c r="D57" s="1" t="s">
        <v>197</v>
      </c>
      <c r="E57" s="1">
        <f t="shared" si="0"/>
        <v>1E-3</v>
      </c>
      <c r="F57" s="1">
        <v>10000</v>
      </c>
      <c r="G57" s="1">
        <f t="shared" si="8"/>
        <v>200</v>
      </c>
      <c r="H57" s="1" t="s">
        <v>110</v>
      </c>
      <c r="I57" s="1" t="s">
        <v>89</v>
      </c>
      <c r="J57" s="57" t="s">
        <v>196</v>
      </c>
      <c r="K57" s="1" t="s">
        <v>174</v>
      </c>
    </row>
    <row r="58" spans="1:11" ht="90" x14ac:dyDescent="0.25">
      <c r="A58" s="257">
        <v>57</v>
      </c>
      <c r="B58" s="1" t="s">
        <v>54</v>
      </c>
      <c r="C58" s="1" t="s">
        <v>63</v>
      </c>
      <c r="D58" s="1" t="s">
        <v>746</v>
      </c>
      <c r="E58" s="1">
        <f t="shared" si="0"/>
        <v>0.16528799999999999</v>
      </c>
      <c r="F58" s="1">
        <v>1652880</v>
      </c>
      <c r="G58" s="1">
        <f>F58*2%</f>
        <v>33057.599999999999</v>
      </c>
      <c r="H58" s="1" t="s">
        <v>110</v>
      </c>
      <c r="I58" s="1" t="s">
        <v>128</v>
      </c>
      <c r="J58" s="58" t="s">
        <v>198</v>
      </c>
      <c r="K58" s="1" t="s">
        <v>750</v>
      </c>
    </row>
    <row r="59" spans="1:11" ht="60" x14ac:dyDescent="0.25">
      <c r="A59" s="257">
        <v>58</v>
      </c>
      <c r="B59" s="1" t="s">
        <v>54</v>
      </c>
      <c r="C59" s="1" t="s">
        <v>63</v>
      </c>
      <c r="D59" s="1" t="s">
        <v>744</v>
      </c>
      <c r="E59" s="1">
        <f t="shared" si="0"/>
        <v>0.2162038</v>
      </c>
      <c r="F59" s="1">
        <v>2162038</v>
      </c>
      <c r="G59" s="1">
        <f>F59*2%</f>
        <v>43240.76</v>
      </c>
      <c r="H59" s="1" t="s">
        <v>110</v>
      </c>
      <c r="I59" s="1" t="s">
        <v>128</v>
      </c>
      <c r="J59" s="58" t="s">
        <v>198</v>
      </c>
      <c r="K59" s="1" t="s">
        <v>748</v>
      </c>
    </row>
    <row r="60" spans="1:11" ht="45" x14ac:dyDescent="0.25">
      <c r="A60" s="257">
        <v>59</v>
      </c>
      <c r="B60" s="1" t="s">
        <v>54</v>
      </c>
      <c r="C60" s="1" t="s">
        <v>63</v>
      </c>
      <c r="D60" s="1" t="s">
        <v>745</v>
      </c>
      <c r="E60" s="1">
        <f t="shared" si="0"/>
        <v>0.2089249</v>
      </c>
      <c r="F60" s="1">
        <v>2089249</v>
      </c>
      <c r="G60" s="1">
        <f>F60*2%</f>
        <v>41784.980000000003</v>
      </c>
      <c r="H60" s="1" t="s">
        <v>110</v>
      </c>
      <c r="I60" s="1" t="s">
        <v>128</v>
      </c>
      <c r="J60" s="58" t="s">
        <v>198</v>
      </c>
      <c r="K60" s="1" t="s">
        <v>749</v>
      </c>
    </row>
    <row r="61" spans="1:11" ht="45" x14ac:dyDescent="0.25">
      <c r="A61" s="257">
        <v>60</v>
      </c>
      <c r="B61" s="1" t="s">
        <v>54</v>
      </c>
      <c r="C61" s="1" t="s">
        <v>63</v>
      </c>
      <c r="D61" s="1" t="s">
        <v>747</v>
      </c>
      <c r="E61" s="1">
        <f t="shared" si="0"/>
        <v>8.76551E-2</v>
      </c>
      <c r="F61" s="1">
        <v>876551</v>
      </c>
      <c r="G61" s="1">
        <f>F61*2%</f>
        <v>17531.02</v>
      </c>
      <c r="H61" s="1" t="s">
        <v>110</v>
      </c>
      <c r="I61" s="1" t="s">
        <v>128</v>
      </c>
      <c r="J61" s="58" t="s">
        <v>198</v>
      </c>
      <c r="K61" s="1" t="s">
        <v>751</v>
      </c>
    </row>
    <row r="62" spans="1:11" ht="54.95" customHeight="1" x14ac:dyDescent="0.25">
      <c r="A62" s="257">
        <v>61</v>
      </c>
      <c r="B62" s="1" t="s">
        <v>22</v>
      </c>
      <c r="C62" s="1" t="s">
        <v>18</v>
      </c>
      <c r="D62" s="1" t="s">
        <v>201</v>
      </c>
      <c r="E62" s="1">
        <f t="shared" si="0"/>
        <v>0</v>
      </c>
      <c r="F62" s="1">
        <v>0</v>
      </c>
      <c r="G62" s="1">
        <v>0</v>
      </c>
      <c r="H62" s="1" t="s">
        <v>110</v>
      </c>
      <c r="I62" s="1" t="s">
        <v>169</v>
      </c>
      <c r="J62" s="59" t="s">
        <v>200</v>
      </c>
      <c r="K62" s="1" t="s">
        <v>199</v>
      </c>
    </row>
    <row r="63" spans="1:11" ht="54.95" customHeight="1" x14ac:dyDescent="0.25">
      <c r="A63" s="257">
        <v>62</v>
      </c>
      <c r="B63" s="1" t="s">
        <v>21</v>
      </c>
      <c r="C63" s="1" t="s">
        <v>164</v>
      </c>
      <c r="D63" s="1" t="s">
        <v>203</v>
      </c>
      <c r="E63" s="1">
        <f t="shared" si="0"/>
        <v>1E-3</v>
      </c>
      <c r="F63" s="1">
        <v>10000</v>
      </c>
      <c r="G63" s="1">
        <f>F63*2%</f>
        <v>200</v>
      </c>
      <c r="H63" s="1" t="s">
        <v>110</v>
      </c>
      <c r="I63" s="1" t="s">
        <v>89</v>
      </c>
      <c r="J63" s="60" t="s">
        <v>202</v>
      </c>
      <c r="K63" s="1" t="s">
        <v>174</v>
      </c>
    </row>
    <row r="64" spans="1:11" ht="54.95" customHeight="1" x14ac:dyDescent="0.25">
      <c r="A64" s="257">
        <v>63</v>
      </c>
      <c r="B64" s="1" t="s">
        <v>72</v>
      </c>
      <c r="C64" s="1" t="s">
        <v>156</v>
      </c>
      <c r="D64" s="1" t="s">
        <v>206</v>
      </c>
      <c r="E64" s="1">
        <f t="shared" si="0"/>
        <v>0.1</v>
      </c>
      <c r="F64" s="1">
        <f>G64*50</f>
        <v>1000000</v>
      </c>
      <c r="G64" s="1">
        <v>20000</v>
      </c>
      <c r="H64" s="1" t="s">
        <v>110</v>
      </c>
      <c r="I64" s="1" t="s">
        <v>181</v>
      </c>
      <c r="J64" s="61" t="s">
        <v>205</v>
      </c>
      <c r="K64" s="1" t="s">
        <v>204</v>
      </c>
    </row>
    <row r="65" spans="1:11" ht="54.95" customHeight="1" x14ac:dyDescent="0.25">
      <c r="A65" s="257">
        <v>64</v>
      </c>
      <c r="B65" s="1" t="s">
        <v>141</v>
      </c>
      <c r="C65" s="1" t="s">
        <v>57</v>
      </c>
      <c r="D65" s="1" t="s">
        <v>208</v>
      </c>
      <c r="E65" s="1">
        <f t="shared" si="0"/>
        <v>0.12</v>
      </c>
      <c r="F65" s="1">
        <v>1200000</v>
      </c>
      <c r="G65" s="1">
        <v>25000</v>
      </c>
      <c r="H65" s="1" t="s">
        <v>12</v>
      </c>
      <c r="I65" s="1" t="s">
        <v>94</v>
      </c>
      <c r="J65" s="62" t="s">
        <v>207</v>
      </c>
      <c r="K65" s="1" t="s">
        <v>207</v>
      </c>
    </row>
    <row r="66" spans="1:11" ht="54.95" customHeight="1" x14ac:dyDescent="0.25">
      <c r="A66" s="257">
        <v>65</v>
      </c>
      <c r="B66" s="1" t="s">
        <v>54</v>
      </c>
      <c r="C66" s="1" t="s">
        <v>210</v>
      </c>
      <c r="D66" s="1" t="s">
        <v>211</v>
      </c>
      <c r="E66" s="1">
        <f t="shared" si="0"/>
        <v>0.6</v>
      </c>
      <c r="F66" s="1">
        <v>6000000</v>
      </c>
      <c r="G66" s="1">
        <v>145000</v>
      </c>
      <c r="H66" s="1" t="s">
        <v>12</v>
      </c>
      <c r="I66" s="1" t="s">
        <v>19</v>
      </c>
      <c r="J66" s="63" t="s">
        <v>209</v>
      </c>
      <c r="K66" s="1" t="s">
        <v>209</v>
      </c>
    </row>
    <row r="67" spans="1:11" ht="54.95" customHeight="1" x14ac:dyDescent="0.25">
      <c r="A67" s="257">
        <v>66</v>
      </c>
      <c r="B67" s="1" t="s">
        <v>21</v>
      </c>
      <c r="C67" s="1" t="s">
        <v>18</v>
      </c>
      <c r="D67" s="1" t="s">
        <v>214</v>
      </c>
      <c r="E67" s="1">
        <f t="shared" si="0"/>
        <v>7.9200000000000007E-2</v>
      </c>
      <c r="F67" s="1">
        <v>792000</v>
      </c>
      <c r="G67" s="1">
        <v>24000</v>
      </c>
      <c r="H67" s="1" t="s">
        <v>12</v>
      </c>
      <c r="I67" s="1" t="s">
        <v>25</v>
      </c>
      <c r="J67" s="64" t="s">
        <v>213</v>
      </c>
      <c r="K67" s="1" t="s">
        <v>212</v>
      </c>
    </row>
    <row r="68" spans="1:11" ht="54.95" customHeight="1" x14ac:dyDescent="0.25">
      <c r="A68" s="257">
        <v>67</v>
      </c>
      <c r="B68" s="1" t="s">
        <v>21</v>
      </c>
      <c r="C68" s="1" t="s">
        <v>164</v>
      </c>
      <c r="D68" s="1" t="s">
        <v>217</v>
      </c>
      <c r="E68" s="1">
        <f t="shared" si="0"/>
        <v>0.28000000000000003</v>
      </c>
      <c r="F68" s="1">
        <v>2800000</v>
      </c>
      <c r="G68" s="1">
        <v>56000</v>
      </c>
      <c r="H68" s="1" t="s">
        <v>12</v>
      </c>
      <c r="I68" s="1" t="s">
        <v>145</v>
      </c>
      <c r="J68" s="65" t="s">
        <v>216</v>
      </c>
      <c r="K68" s="1" t="s">
        <v>215</v>
      </c>
    </row>
    <row r="69" spans="1:11" ht="54.95" customHeight="1" x14ac:dyDescent="0.25">
      <c r="A69" s="257">
        <v>68</v>
      </c>
      <c r="B69" s="1" t="s">
        <v>141</v>
      </c>
      <c r="C69" s="1" t="s">
        <v>18</v>
      </c>
      <c r="D69" s="1" t="s">
        <v>220</v>
      </c>
      <c r="E69" s="1">
        <f t="shared" ref="E69:E130" si="9">F69/10000000</f>
        <v>0.14499999999999999</v>
      </c>
      <c r="F69" s="1">
        <f t="shared" ref="F69:F71" si="10">G69*50</f>
        <v>1450000</v>
      </c>
      <c r="G69" s="1">
        <v>29000</v>
      </c>
      <c r="H69" s="1" t="s">
        <v>12</v>
      </c>
      <c r="I69" s="1" t="s">
        <v>19</v>
      </c>
      <c r="J69" s="66" t="s">
        <v>219</v>
      </c>
      <c r="K69" s="1" t="s">
        <v>218</v>
      </c>
    </row>
    <row r="70" spans="1:11" ht="54.95" customHeight="1" x14ac:dyDescent="0.25">
      <c r="A70" s="257">
        <v>69</v>
      </c>
      <c r="B70" s="1" t="s">
        <v>15</v>
      </c>
      <c r="C70" s="1" t="s">
        <v>18</v>
      </c>
      <c r="D70" s="1" t="s">
        <v>223</v>
      </c>
      <c r="E70" s="1">
        <f t="shared" si="9"/>
        <v>0.105</v>
      </c>
      <c r="F70" s="1">
        <f t="shared" si="10"/>
        <v>1050000</v>
      </c>
      <c r="G70" s="1">
        <v>21000</v>
      </c>
      <c r="H70" s="1" t="s">
        <v>12</v>
      </c>
      <c r="I70" s="1" t="s">
        <v>89</v>
      </c>
      <c r="J70" s="67" t="s">
        <v>222</v>
      </c>
      <c r="K70" s="1" t="s">
        <v>221</v>
      </c>
    </row>
    <row r="71" spans="1:11" ht="54.95" customHeight="1" x14ac:dyDescent="0.25">
      <c r="A71" s="257">
        <v>70</v>
      </c>
      <c r="B71" s="1" t="s">
        <v>15</v>
      </c>
      <c r="C71" s="1" t="s">
        <v>18</v>
      </c>
      <c r="D71" s="1" t="s">
        <v>226</v>
      </c>
      <c r="E71" s="1">
        <f t="shared" si="9"/>
        <v>9.2499999999999999E-2</v>
      </c>
      <c r="F71" s="1">
        <f t="shared" si="10"/>
        <v>925000</v>
      </c>
      <c r="G71" s="1">
        <v>18500</v>
      </c>
      <c r="H71" s="1" t="s">
        <v>12</v>
      </c>
      <c r="I71" s="1" t="s">
        <v>89</v>
      </c>
      <c r="J71" s="68" t="s">
        <v>225</v>
      </c>
      <c r="K71" s="1" t="s">
        <v>224</v>
      </c>
    </row>
    <row r="72" spans="1:11" ht="54.95" customHeight="1" x14ac:dyDescent="0.25">
      <c r="A72" s="257">
        <v>71</v>
      </c>
      <c r="B72" s="1" t="s">
        <v>21</v>
      </c>
      <c r="C72" s="1" t="s">
        <v>52</v>
      </c>
      <c r="D72" s="1" t="s">
        <v>229</v>
      </c>
      <c r="E72" s="1">
        <f t="shared" si="9"/>
        <v>0.16510000000000002</v>
      </c>
      <c r="F72" s="1">
        <v>1651000.0000000002</v>
      </c>
      <c r="G72" s="1">
        <v>39000</v>
      </c>
      <c r="H72" s="1" t="s">
        <v>12</v>
      </c>
      <c r="I72" s="1" t="s">
        <v>25</v>
      </c>
      <c r="J72" s="69" t="s">
        <v>228</v>
      </c>
      <c r="K72" s="1" t="s">
        <v>227</v>
      </c>
    </row>
    <row r="73" spans="1:11" ht="54.95" customHeight="1" x14ac:dyDescent="0.25">
      <c r="A73" s="257">
        <v>72</v>
      </c>
      <c r="B73" s="1" t="s">
        <v>21</v>
      </c>
      <c r="C73" s="1" t="s">
        <v>164</v>
      </c>
      <c r="D73" s="1" t="s">
        <v>231</v>
      </c>
      <c r="E73" s="1">
        <f t="shared" si="9"/>
        <v>0.28000000000000003</v>
      </c>
      <c r="F73" s="1">
        <v>2800000</v>
      </c>
      <c r="G73" s="1">
        <v>56000</v>
      </c>
      <c r="H73" s="1" t="s">
        <v>12</v>
      </c>
      <c r="I73" s="1" t="s">
        <v>145</v>
      </c>
      <c r="J73" s="70" t="s">
        <v>230</v>
      </c>
      <c r="K73" s="1" t="s">
        <v>215</v>
      </c>
    </row>
    <row r="74" spans="1:11" ht="54.95" customHeight="1" x14ac:dyDescent="0.25">
      <c r="A74" s="257">
        <v>73</v>
      </c>
      <c r="B74" s="1" t="s">
        <v>141</v>
      </c>
      <c r="C74" s="1" t="s">
        <v>18</v>
      </c>
      <c r="D74" s="1" t="s">
        <v>234</v>
      </c>
      <c r="E74" s="1">
        <f t="shared" si="9"/>
        <v>0.56000000000000005</v>
      </c>
      <c r="F74" s="1">
        <v>5600000</v>
      </c>
      <c r="G74" s="1">
        <v>112000.00000000001</v>
      </c>
      <c r="H74" s="1" t="s">
        <v>12</v>
      </c>
      <c r="I74" s="1" t="s">
        <v>19</v>
      </c>
      <c r="J74" s="71" t="s">
        <v>233</v>
      </c>
      <c r="K74" s="1" t="s">
        <v>232</v>
      </c>
    </row>
    <row r="75" spans="1:11" ht="54.95" customHeight="1" x14ac:dyDescent="0.25">
      <c r="A75" s="257">
        <v>74</v>
      </c>
      <c r="B75" s="1" t="s">
        <v>54</v>
      </c>
      <c r="C75" s="1" t="s">
        <v>63</v>
      </c>
      <c r="D75" s="1" t="s">
        <v>237</v>
      </c>
      <c r="E75" s="1">
        <f t="shared" si="9"/>
        <v>0.12529999999999999</v>
      </c>
      <c r="F75" s="1">
        <v>1253000</v>
      </c>
      <c r="G75" s="1">
        <v>40000</v>
      </c>
      <c r="H75" s="1" t="s">
        <v>12</v>
      </c>
      <c r="I75" s="1" t="s">
        <v>128</v>
      </c>
      <c r="J75" s="72" t="s">
        <v>236</v>
      </c>
      <c r="K75" s="1" t="s">
        <v>235</v>
      </c>
    </row>
    <row r="76" spans="1:11" ht="54.95" customHeight="1" x14ac:dyDescent="0.25">
      <c r="A76" s="257">
        <v>75</v>
      </c>
      <c r="B76" s="1" t="s">
        <v>21</v>
      </c>
      <c r="C76" s="1" t="s">
        <v>18</v>
      </c>
      <c r="D76" s="1" t="s">
        <v>214</v>
      </c>
      <c r="E76" s="1">
        <f t="shared" si="9"/>
        <v>7.9200000000000007E-2</v>
      </c>
      <c r="F76" s="1">
        <v>792000</v>
      </c>
      <c r="G76" s="1">
        <v>24000</v>
      </c>
      <c r="H76" s="1" t="s">
        <v>12</v>
      </c>
      <c r="I76" s="1" t="s">
        <v>25</v>
      </c>
      <c r="J76" s="73" t="s">
        <v>239</v>
      </c>
      <c r="K76" s="1" t="s">
        <v>238</v>
      </c>
    </row>
    <row r="77" spans="1:11" ht="54.95" customHeight="1" x14ac:dyDescent="0.25">
      <c r="A77" s="257">
        <v>76</v>
      </c>
      <c r="B77" s="1" t="s">
        <v>21</v>
      </c>
      <c r="C77" s="1" t="s">
        <v>52</v>
      </c>
      <c r="D77" s="1" t="s">
        <v>242</v>
      </c>
      <c r="E77" s="1">
        <f t="shared" si="9"/>
        <v>9.6000000000000002E-2</v>
      </c>
      <c r="F77" s="1">
        <v>960000</v>
      </c>
      <c r="G77" s="1">
        <v>23000</v>
      </c>
      <c r="H77" s="1" t="s">
        <v>12</v>
      </c>
      <c r="I77" s="1" t="s">
        <v>25</v>
      </c>
      <c r="J77" s="74" t="s">
        <v>241</v>
      </c>
      <c r="K77" s="1" t="s">
        <v>240</v>
      </c>
    </row>
    <row r="78" spans="1:11" ht="54.95" customHeight="1" x14ac:dyDescent="0.25">
      <c r="A78" s="257">
        <v>77</v>
      </c>
      <c r="B78" s="1" t="s">
        <v>21</v>
      </c>
      <c r="C78" s="1" t="s">
        <v>164</v>
      </c>
      <c r="D78" s="1" t="s">
        <v>244</v>
      </c>
      <c r="E78" s="1">
        <f t="shared" si="9"/>
        <v>0.28000000000000003</v>
      </c>
      <c r="F78" s="1">
        <v>2800000</v>
      </c>
      <c r="G78" s="1">
        <v>56000</v>
      </c>
      <c r="H78" s="1" t="s">
        <v>12</v>
      </c>
      <c r="I78" s="1" t="s">
        <v>145</v>
      </c>
      <c r="J78" s="75" t="s">
        <v>243</v>
      </c>
      <c r="K78" s="1" t="s">
        <v>215</v>
      </c>
    </row>
    <row r="79" spans="1:11" ht="54.95" customHeight="1" x14ac:dyDescent="0.25">
      <c r="A79" s="257">
        <v>78</v>
      </c>
      <c r="B79" s="1" t="s">
        <v>21</v>
      </c>
      <c r="C79" s="1" t="s">
        <v>164</v>
      </c>
      <c r="D79" s="1" t="s">
        <v>246</v>
      </c>
      <c r="E79" s="1">
        <f t="shared" si="9"/>
        <v>0.28000000000000003</v>
      </c>
      <c r="F79" s="1">
        <v>2800000</v>
      </c>
      <c r="G79" s="1">
        <v>56000</v>
      </c>
      <c r="H79" s="1" t="s">
        <v>12</v>
      </c>
      <c r="I79" s="1" t="s">
        <v>145</v>
      </c>
      <c r="J79" s="76" t="s">
        <v>245</v>
      </c>
      <c r="K79" s="1" t="s">
        <v>215</v>
      </c>
    </row>
    <row r="80" spans="1:11" ht="54.95" customHeight="1" x14ac:dyDescent="0.25">
      <c r="A80" s="257">
        <v>79</v>
      </c>
      <c r="B80" s="1" t="s">
        <v>21</v>
      </c>
      <c r="C80" s="1" t="s">
        <v>18</v>
      </c>
      <c r="D80" s="1" t="s">
        <v>214</v>
      </c>
      <c r="E80" s="1">
        <f t="shared" si="9"/>
        <v>7.9200000000000007E-2</v>
      </c>
      <c r="F80" s="1">
        <v>792000</v>
      </c>
      <c r="G80" s="1">
        <v>24000</v>
      </c>
      <c r="H80" s="1" t="s">
        <v>12</v>
      </c>
      <c r="I80" s="1" t="s">
        <v>25</v>
      </c>
      <c r="J80" s="77" t="s">
        <v>248</v>
      </c>
      <c r="K80" s="1" t="s">
        <v>247</v>
      </c>
    </row>
    <row r="81" spans="1:11" ht="54.95" customHeight="1" x14ac:dyDescent="0.25">
      <c r="A81" s="257">
        <v>80</v>
      </c>
      <c r="B81" s="1" t="s">
        <v>21</v>
      </c>
      <c r="C81" s="1" t="s">
        <v>164</v>
      </c>
      <c r="D81" s="1" t="s">
        <v>250</v>
      </c>
      <c r="E81" s="1">
        <f t="shared" si="9"/>
        <v>0.28000000000000003</v>
      </c>
      <c r="F81" s="1">
        <v>2800000</v>
      </c>
      <c r="G81" s="1">
        <v>56000</v>
      </c>
      <c r="H81" s="1" t="s">
        <v>12</v>
      </c>
      <c r="I81" s="1" t="s">
        <v>145</v>
      </c>
      <c r="J81" s="78" t="s">
        <v>249</v>
      </c>
      <c r="K81" s="1" t="s">
        <v>215</v>
      </c>
    </row>
    <row r="82" spans="1:11" ht="54.95" customHeight="1" x14ac:dyDescent="0.25">
      <c r="A82" s="257">
        <v>81</v>
      </c>
      <c r="B82" s="1" t="s">
        <v>21</v>
      </c>
      <c r="C82" s="1" t="s">
        <v>52</v>
      </c>
      <c r="D82" s="1" t="s">
        <v>253</v>
      </c>
      <c r="E82" s="1">
        <f t="shared" si="9"/>
        <v>0.11360000000000001</v>
      </c>
      <c r="F82" s="1">
        <v>1136000</v>
      </c>
      <c r="G82" s="1">
        <v>27000</v>
      </c>
      <c r="H82" s="1" t="s">
        <v>12</v>
      </c>
      <c r="I82" s="1" t="s">
        <v>25</v>
      </c>
      <c r="J82" s="79" t="s">
        <v>252</v>
      </c>
      <c r="K82" s="1" t="s">
        <v>251</v>
      </c>
    </row>
    <row r="83" spans="1:11" ht="54.95" customHeight="1" x14ac:dyDescent="0.25">
      <c r="A83" s="257">
        <v>82</v>
      </c>
      <c r="B83" s="1" t="s">
        <v>15</v>
      </c>
      <c r="C83" s="1" t="s">
        <v>18</v>
      </c>
      <c r="D83" s="1" t="s">
        <v>256</v>
      </c>
      <c r="E83" s="1">
        <f t="shared" si="9"/>
        <v>0.04</v>
      </c>
      <c r="F83" s="1">
        <v>400000</v>
      </c>
      <c r="G83" s="1">
        <v>16000</v>
      </c>
      <c r="H83" s="1" t="s">
        <v>12</v>
      </c>
      <c r="I83" s="1" t="s">
        <v>19</v>
      </c>
      <c r="J83" s="80" t="s">
        <v>255</v>
      </c>
      <c r="K83" s="1" t="s">
        <v>254</v>
      </c>
    </row>
    <row r="84" spans="1:11" ht="54.95" customHeight="1" x14ac:dyDescent="0.25">
      <c r="A84" s="257">
        <v>83</v>
      </c>
      <c r="B84" s="1" t="s">
        <v>21</v>
      </c>
      <c r="C84" s="1" t="s">
        <v>164</v>
      </c>
      <c r="D84" s="1" t="s">
        <v>258</v>
      </c>
      <c r="E84" s="1">
        <f t="shared" si="9"/>
        <v>0.28000000000000003</v>
      </c>
      <c r="F84" s="1">
        <v>2800000</v>
      </c>
      <c r="G84" s="1">
        <v>56000</v>
      </c>
      <c r="H84" s="1" t="s">
        <v>12</v>
      </c>
      <c r="I84" s="1" t="s">
        <v>145</v>
      </c>
      <c r="J84" s="81" t="s">
        <v>257</v>
      </c>
      <c r="K84" s="1" t="s">
        <v>215</v>
      </c>
    </row>
    <row r="85" spans="1:11" ht="54.95" customHeight="1" x14ac:dyDescent="0.25">
      <c r="A85" s="257">
        <v>84</v>
      </c>
      <c r="B85" s="1" t="s">
        <v>72</v>
      </c>
      <c r="C85" s="1" t="s">
        <v>63</v>
      </c>
      <c r="D85" s="1" t="s">
        <v>262</v>
      </c>
      <c r="E85" s="1">
        <f t="shared" si="9"/>
        <v>0.34229999999999994</v>
      </c>
      <c r="F85" s="1">
        <v>3422999.9999999995</v>
      </c>
      <c r="G85" s="1">
        <v>68500</v>
      </c>
      <c r="H85" s="1" t="s">
        <v>12</v>
      </c>
      <c r="I85" s="1" t="s">
        <v>261</v>
      </c>
      <c r="J85" s="82" t="s">
        <v>260</v>
      </c>
      <c r="K85" s="1" t="s">
        <v>259</v>
      </c>
    </row>
    <row r="86" spans="1:11" ht="54.95" customHeight="1" x14ac:dyDescent="0.25">
      <c r="A86" s="257">
        <v>85</v>
      </c>
      <c r="B86" s="1" t="s">
        <v>21</v>
      </c>
      <c r="C86" s="1" t="s">
        <v>18</v>
      </c>
      <c r="D86" s="1" t="s">
        <v>214</v>
      </c>
      <c r="E86" s="1">
        <f t="shared" si="9"/>
        <v>7.9200000000000007E-2</v>
      </c>
      <c r="F86" s="1">
        <v>792000</v>
      </c>
      <c r="G86" s="1">
        <v>24000</v>
      </c>
      <c r="H86" s="1" t="s">
        <v>12</v>
      </c>
      <c r="I86" s="1" t="s">
        <v>25</v>
      </c>
      <c r="J86" s="83" t="s">
        <v>264</v>
      </c>
      <c r="K86" s="1" t="s">
        <v>263</v>
      </c>
    </row>
    <row r="87" spans="1:11" ht="54.95" customHeight="1" x14ac:dyDescent="0.25">
      <c r="A87" s="257">
        <v>86</v>
      </c>
      <c r="B87" s="1" t="s">
        <v>54</v>
      </c>
      <c r="C87" s="1" t="s">
        <v>18</v>
      </c>
      <c r="D87" s="1" t="s">
        <v>268</v>
      </c>
      <c r="E87" s="1">
        <f t="shared" si="9"/>
        <v>70.13</v>
      </c>
      <c r="F87" s="1">
        <v>701300000</v>
      </c>
      <c r="G87" s="1">
        <v>14100000</v>
      </c>
      <c r="H87" s="1" t="s">
        <v>12</v>
      </c>
      <c r="I87" s="1" t="s">
        <v>267</v>
      </c>
      <c r="J87" s="84" t="s">
        <v>266</v>
      </c>
      <c r="K87" s="1" t="s">
        <v>265</v>
      </c>
    </row>
    <row r="88" spans="1:11" ht="54.95" customHeight="1" x14ac:dyDescent="0.25">
      <c r="A88" s="257">
        <v>87</v>
      </c>
      <c r="B88" s="1" t="s">
        <v>21</v>
      </c>
      <c r="C88" s="1" t="s">
        <v>18</v>
      </c>
      <c r="D88" s="1" t="s">
        <v>214</v>
      </c>
      <c r="E88" s="1">
        <f t="shared" si="9"/>
        <v>7.9200000000000007E-2</v>
      </c>
      <c r="F88" s="1">
        <v>792000</v>
      </c>
      <c r="G88" s="1">
        <v>24000</v>
      </c>
      <c r="H88" s="1" t="s">
        <v>12</v>
      </c>
      <c r="I88" s="1" t="s">
        <v>25</v>
      </c>
      <c r="J88" s="85" t="s">
        <v>270</v>
      </c>
      <c r="K88" s="1" t="s">
        <v>269</v>
      </c>
    </row>
    <row r="89" spans="1:11" ht="54.95" customHeight="1" x14ac:dyDescent="0.25">
      <c r="A89" s="257">
        <v>88</v>
      </c>
      <c r="B89" s="1" t="s">
        <v>21</v>
      </c>
      <c r="C89" s="1" t="s">
        <v>164</v>
      </c>
      <c r="D89" s="1" t="s">
        <v>272</v>
      </c>
      <c r="E89" s="1">
        <f t="shared" si="9"/>
        <v>0.28000000000000003</v>
      </c>
      <c r="F89" s="1">
        <v>2800000</v>
      </c>
      <c r="G89" s="1">
        <v>56000</v>
      </c>
      <c r="H89" s="1" t="s">
        <v>12</v>
      </c>
      <c r="I89" s="1" t="s">
        <v>145</v>
      </c>
      <c r="J89" s="86" t="s">
        <v>271</v>
      </c>
      <c r="K89" s="1" t="s">
        <v>215</v>
      </c>
    </row>
    <row r="90" spans="1:11" ht="54.95" customHeight="1" x14ac:dyDescent="0.25">
      <c r="A90" s="257">
        <v>89</v>
      </c>
      <c r="B90" s="1" t="s">
        <v>21</v>
      </c>
      <c r="C90" s="1" t="s">
        <v>18</v>
      </c>
      <c r="D90" s="1" t="s">
        <v>275</v>
      </c>
      <c r="E90" s="1">
        <f t="shared" si="9"/>
        <v>0.75</v>
      </c>
      <c r="F90" s="1">
        <v>7500000</v>
      </c>
      <c r="G90" s="1">
        <v>150000</v>
      </c>
      <c r="H90" s="1" t="s">
        <v>12</v>
      </c>
      <c r="I90" s="1" t="s">
        <v>89</v>
      </c>
      <c r="J90" s="87" t="s">
        <v>274</v>
      </c>
      <c r="K90" s="1" t="s">
        <v>273</v>
      </c>
    </row>
    <row r="91" spans="1:11" ht="54.95" customHeight="1" x14ac:dyDescent="0.25">
      <c r="A91" s="257">
        <v>90</v>
      </c>
      <c r="B91" s="1" t="s">
        <v>21</v>
      </c>
      <c r="C91" s="1" t="s">
        <v>164</v>
      </c>
      <c r="D91" s="1" t="s">
        <v>277</v>
      </c>
      <c r="E91" s="1">
        <f t="shared" si="9"/>
        <v>0.28000000000000003</v>
      </c>
      <c r="F91" s="1">
        <v>2800000</v>
      </c>
      <c r="G91" s="1">
        <v>56000</v>
      </c>
      <c r="H91" s="1" t="s">
        <v>12</v>
      </c>
      <c r="I91" s="1" t="s">
        <v>145</v>
      </c>
      <c r="J91" s="88" t="s">
        <v>276</v>
      </c>
      <c r="K91" s="1" t="s">
        <v>215</v>
      </c>
    </row>
    <row r="92" spans="1:11" ht="54.95" customHeight="1" x14ac:dyDescent="0.25">
      <c r="A92" s="257">
        <v>91</v>
      </c>
      <c r="B92" s="1" t="s">
        <v>141</v>
      </c>
      <c r="C92" s="1" t="s">
        <v>18</v>
      </c>
      <c r="D92" s="1" t="s">
        <v>280</v>
      </c>
      <c r="E92" s="1">
        <f t="shared" si="9"/>
        <v>0.49</v>
      </c>
      <c r="F92" s="1">
        <v>4900000</v>
      </c>
      <c r="G92" s="1">
        <v>98000</v>
      </c>
      <c r="H92" s="1" t="s">
        <v>12</v>
      </c>
      <c r="I92" s="1" t="s">
        <v>19</v>
      </c>
      <c r="J92" s="89" t="s">
        <v>279</v>
      </c>
      <c r="K92" s="1" t="s">
        <v>278</v>
      </c>
    </row>
    <row r="93" spans="1:11" ht="54.95" customHeight="1" x14ac:dyDescent="0.25">
      <c r="A93" s="257">
        <v>92</v>
      </c>
      <c r="B93" s="1" t="s">
        <v>141</v>
      </c>
      <c r="C93" s="1" t="s">
        <v>18</v>
      </c>
      <c r="D93" s="1" t="s">
        <v>283</v>
      </c>
      <c r="E93" s="1">
        <f t="shared" si="9"/>
        <v>0.48</v>
      </c>
      <c r="F93" s="1">
        <v>4800000</v>
      </c>
      <c r="G93" s="1">
        <v>96000</v>
      </c>
      <c r="H93" s="1" t="s">
        <v>12</v>
      </c>
      <c r="I93" s="1" t="s">
        <v>19</v>
      </c>
      <c r="J93" s="90" t="s">
        <v>282</v>
      </c>
      <c r="K93" s="1" t="s">
        <v>281</v>
      </c>
    </row>
    <row r="94" spans="1:11" ht="54.95" customHeight="1" x14ac:dyDescent="0.25">
      <c r="A94" s="257">
        <v>93</v>
      </c>
      <c r="B94" s="1" t="s">
        <v>21</v>
      </c>
      <c r="C94" s="1" t="s">
        <v>164</v>
      </c>
      <c r="D94" s="1" t="s">
        <v>285</v>
      </c>
      <c r="E94" s="1">
        <f t="shared" si="9"/>
        <v>0.28000000000000003</v>
      </c>
      <c r="F94" s="1">
        <v>2800000</v>
      </c>
      <c r="G94" s="1">
        <v>56000</v>
      </c>
      <c r="H94" s="1" t="s">
        <v>12</v>
      </c>
      <c r="I94" s="1" t="s">
        <v>145</v>
      </c>
      <c r="J94" s="91" t="s">
        <v>284</v>
      </c>
      <c r="K94" s="1" t="s">
        <v>215</v>
      </c>
    </row>
    <row r="95" spans="1:11" ht="54.95" customHeight="1" x14ac:dyDescent="0.25">
      <c r="A95" s="257">
        <v>94</v>
      </c>
      <c r="B95" s="1" t="s">
        <v>54</v>
      </c>
      <c r="C95" s="1" t="s">
        <v>288</v>
      </c>
      <c r="D95" s="1" t="s">
        <v>289</v>
      </c>
      <c r="E95" s="1">
        <f t="shared" si="9"/>
        <v>14.5</v>
      </c>
      <c r="F95" s="1">
        <f>G95*50</f>
        <v>145000000</v>
      </c>
      <c r="G95" s="1">
        <v>2900000</v>
      </c>
      <c r="H95" s="1" t="s">
        <v>12</v>
      </c>
      <c r="I95" s="1" t="s">
        <v>128</v>
      </c>
      <c r="J95" s="92" t="s">
        <v>287</v>
      </c>
      <c r="K95" s="1" t="s">
        <v>286</v>
      </c>
    </row>
    <row r="96" spans="1:11" ht="54.95" customHeight="1" x14ac:dyDescent="0.25">
      <c r="A96" s="257">
        <v>95</v>
      </c>
      <c r="B96" s="1" t="s">
        <v>54</v>
      </c>
      <c r="C96" s="1" t="s">
        <v>144</v>
      </c>
      <c r="D96" s="1" t="s">
        <v>292</v>
      </c>
      <c r="E96" s="1">
        <f t="shared" si="9"/>
        <v>0.29859999999999998</v>
      </c>
      <c r="F96" s="1">
        <v>2986000</v>
      </c>
      <c r="G96" s="1">
        <v>85000</v>
      </c>
      <c r="H96" s="1" t="s">
        <v>12</v>
      </c>
      <c r="I96" s="1" t="s">
        <v>181</v>
      </c>
      <c r="J96" s="93" t="s">
        <v>291</v>
      </c>
      <c r="K96" s="1" t="s">
        <v>290</v>
      </c>
    </row>
    <row r="97" spans="1:11" ht="54.95" customHeight="1" x14ac:dyDescent="0.25">
      <c r="A97" s="257">
        <v>96</v>
      </c>
      <c r="B97" s="1" t="s">
        <v>65</v>
      </c>
      <c r="C97" s="1" t="s">
        <v>295</v>
      </c>
      <c r="D97" s="1" t="s">
        <v>296</v>
      </c>
      <c r="E97" s="1">
        <f t="shared" si="9"/>
        <v>0.52</v>
      </c>
      <c r="F97" s="1">
        <v>5200000</v>
      </c>
      <c r="G97" s="1">
        <v>125000</v>
      </c>
      <c r="H97" s="1" t="s">
        <v>12</v>
      </c>
      <c r="I97" s="1" t="s">
        <v>169</v>
      </c>
      <c r="J97" s="94" t="s">
        <v>294</v>
      </c>
      <c r="K97" s="1" t="s">
        <v>293</v>
      </c>
    </row>
    <row r="98" spans="1:11" ht="54.95" customHeight="1" x14ac:dyDescent="0.25">
      <c r="A98" s="257">
        <v>97</v>
      </c>
      <c r="B98" s="1" t="s">
        <v>65</v>
      </c>
      <c r="C98" s="1" t="s">
        <v>295</v>
      </c>
      <c r="D98" s="1" t="s">
        <v>299</v>
      </c>
      <c r="E98" s="1">
        <f t="shared" si="9"/>
        <v>0.25</v>
      </c>
      <c r="F98" s="1">
        <v>2500000</v>
      </c>
      <c r="G98" s="1">
        <v>85000</v>
      </c>
      <c r="H98" s="1" t="s">
        <v>12</v>
      </c>
      <c r="I98" s="1" t="s">
        <v>19</v>
      </c>
      <c r="J98" s="95" t="s">
        <v>298</v>
      </c>
      <c r="K98" s="1" t="s">
        <v>297</v>
      </c>
    </row>
    <row r="99" spans="1:11" ht="54.95" customHeight="1" x14ac:dyDescent="0.25">
      <c r="A99" s="257">
        <v>98</v>
      </c>
      <c r="B99" s="1" t="s">
        <v>21</v>
      </c>
      <c r="C99" s="1" t="s">
        <v>52</v>
      </c>
      <c r="D99" s="1" t="s">
        <v>302</v>
      </c>
      <c r="E99" s="1">
        <f t="shared" si="9"/>
        <v>0.32190000000000002</v>
      </c>
      <c r="F99" s="1">
        <v>3219000</v>
      </c>
      <c r="G99" s="1">
        <v>76040</v>
      </c>
      <c r="H99" s="1" t="s">
        <v>12</v>
      </c>
      <c r="I99" s="1" t="s">
        <v>25</v>
      </c>
      <c r="J99" s="96" t="s">
        <v>301</v>
      </c>
      <c r="K99" s="1" t="s">
        <v>300</v>
      </c>
    </row>
    <row r="100" spans="1:11" ht="54.95" customHeight="1" x14ac:dyDescent="0.25">
      <c r="A100" s="257">
        <v>99</v>
      </c>
      <c r="B100" s="1" t="s">
        <v>21</v>
      </c>
      <c r="C100" s="1" t="s">
        <v>164</v>
      </c>
      <c r="D100" s="1" t="s">
        <v>304</v>
      </c>
      <c r="E100" s="1">
        <f t="shared" si="9"/>
        <v>0.28000000000000003</v>
      </c>
      <c r="F100" s="1">
        <v>2800000</v>
      </c>
      <c r="G100" s="1">
        <v>56000</v>
      </c>
      <c r="H100" s="1" t="s">
        <v>12</v>
      </c>
      <c r="I100" s="1" t="s">
        <v>145</v>
      </c>
      <c r="J100" s="97" t="s">
        <v>303</v>
      </c>
      <c r="K100" s="1" t="s">
        <v>215</v>
      </c>
    </row>
    <row r="101" spans="1:11" ht="54.95" customHeight="1" x14ac:dyDescent="0.25">
      <c r="A101" s="257">
        <v>100</v>
      </c>
      <c r="B101" s="1" t="s">
        <v>54</v>
      </c>
      <c r="C101" s="1" t="s">
        <v>288</v>
      </c>
      <c r="D101" s="1" t="s">
        <v>309</v>
      </c>
      <c r="E101" s="1">
        <f t="shared" si="9"/>
        <v>0.1</v>
      </c>
      <c r="F101" s="1">
        <f>G101*50</f>
        <v>1000000</v>
      </c>
      <c r="G101" s="1">
        <v>20000</v>
      </c>
      <c r="H101" s="1" t="s">
        <v>307</v>
      </c>
      <c r="I101" s="1" t="s">
        <v>308</v>
      </c>
      <c r="J101" s="98" t="s">
        <v>306</v>
      </c>
      <c r="K101" s="1" t="s">
        <v>305</v>
      </c>
    </row>
    <row r="102" spans="1:11" ht="54.95" customHeight="1" x14ac:dyDescent="0.25">
      <c r="A102" s="257">
        <v>101</v>
      </c>
      <c r="B102" s="1" t="s">
        <v>21</v>
      </c>
      <c r="C102" s="1" t="s">
        <v>52</v>
      </c>
      <c r="D102" s="1" t="s">
        <v>312</v>
      </c>
      <c r="E102" s="1">
        <f t="shared" si="9"/>
        <v>0.13120000000000001</v>
      </c>
      <c r="F102" s="1">
        <v>1312000</v>
      </c>
      <c r="G102" s="1">
        <v>31000</v>
      </c>
      <c r="H102" s="1" t="s">
        <v>12</v>
      </c>
      <c r="I102" s="1" t="s">
        <v>25</v>
      </c>
      <c r="J102" s="99" t="s">
        <v>311</v>
      </c>
      <c r="K102" s="1" t="s">
        <v>310</v>
      </c>
    </row>
    <row r="103" spans="1:11" ht="54.95" customHeight="1" x14ac:dyDescent="0.25">
      <c r="A103" s="257">
        <v>102</v>
      </c>
      <c r="B103" s="1" t="s">
        <v>316</v>
      </c>
      <c r="C103" s="1" t="s">
        <v>144</v>
      </c>
      <c r="D103" s="1" t="s">
        <v>315</v>
      </c>
      <c r="E103" s="1">
        <f t="shared" si="9"/>
        <v>1.2</v>
      </c>
      <c r="F103" s="1">
        <v>12000000</v>
      </c>
      <c r="G103" s="1">
        <v>509999.99999999994</v>
      </c>
      <c r="H103" s="1" t="s">
        <v>93</v>
      </c>
      <c r="I103" s="1" t="s">
        <v>25</v>
      </c>
      <c r="J103" s="100" t="s">
        <v>314</v>
      </c>
      <c r="K103" s="1" t="s">
        <v>313</v>
      </c>
    </row>
    <row r="104" spans="1:11" ht="54.95" customHeight="1" x14ac:dyDescent="0.25">
      <c r="A104" s="257">
        <v>103</v>
      </c>
      <c r="B104" s="1" t="s">
        <v>54</v>
      </c>
      <c r="C104" s="1" t="s">
        <v>63</v>
      </c>
      <c r="D104" s="1" t="s">
        <v>319</v>
      </c>
      <c r="E104" s="1">
        <f t="shared" si="9"/>
        <v>0.39960000000000001</v>
      </c>
      <c r="F104" s="1">
        <v>3996000</v>
      </c>
      <c r="G104" s="1">
        <v>100000</v>
      </c>
      <c r="H104" s="1" t="s">
        <v>93</v>
      </c>
      <c r="I104" s="1" t="s">
        <v>25</v>
      </c>
      <c r="J104" s="101" t="s">
        <v>318</v>
      </c>
      <c r="K104" s="1" t="s">
        <v>317</v>
      </c>
    </row>
    <row r="105" spans="1:11" ht="54.95" customHeight="1" x14ac:dyDescent="0.25">
      <c r="A105" s="257">
        <v>104</v>
      </c>
      <c r="B105" s="1" t="s">
        <v>101</v>
      </c>
      <c r="C105" s="1" t="s">
        <v>29</v>
      </c>
      <c r="D105" s="1" t="s">
        <v>322</v>
      </c>
      <c r="E105" s="1">
        <f t="shared" si="9"/>
        <v>4.3499999999999997E-3</v>
      </c>
      <c r="F105" s="1">
        <v>43500</v>
      </c>
      <c r="G105" s="1">
        <f t="shared" ref="G105:G112" si="11">F105*2%</f>
        <v>870</v>
      </c>
      <c r="H105" s="1" t="s">
        <v>165</v>
      </c>
      <c r="I105" s="1" t="s">
        <v>19</v>
      </c>
      <c r="J105" s="102" t="s">
        <v>321</v>
      </c>
      <c r="K105" s="1" t="s">
        <v>320</v>
      </c>
    </row>
    <row r="106" spans="1:11" ht="54.95" customHeight="1" x14ac:dyDescent="0.25">
      <c r="A106" s="257">
        <v>105</v>
      </c>
      <c r="B106" s="1" t="s">
        <v>101</v>
      </c>
      <c r="C106" s="1" t="s">
        <v>29</v>
      </c>
      <c r="D106" s="1" t="s">
        <v>324</v>
      </c>
      <c r="E106" s="1">
        <f t="shared" si="9"/>
        <v>1.5900000000000001E-3</v>
      </c>
      <c r="F106" s="1">
        <v>15900</v>
      </c>
      <c r="G106" s="1">
        <f t="shared" si="11"/>
        <v>318</v>
      </c>
      <c r="H106" s="1" t="s">
        <v>165</v>
      </c>
      <c r="I106" s="1" t="s">
        <v>19</v>
      </c>
      <c r="J106" s="103" t="s">
        <v>323</v>
      </c>
      <c r="K106" s="1" t="s">
        <v>320</v>
      </c>
    </row>
    <row r="107" spans="1:11" ht="54.95" customHeight="1" x14ac:dyDescent="0.25">
      <c r="A107" s="257">
        <v>106</v>
      </c>
      <c r="B107" s="1" t="s">
        <v>101</v>
      </c>
      <c r="C107" s="1" t="s">
        <v>29</v>
      </c>
      <c r="D107" s="1" t="s">
        <v>326</v>
      </c>
      <c r="E107" s="1">
        <f t="shared" si="9"/>
        <v>8.2699999999999996E-3</v>
      </c>
      <c r="F107" s="1">
        <v>82700</v>
      </c>
      <c r="G107" s="1">
        <f t="shared" si="11"/>
        <v>1654</v>
      </c>
      <c r="H107" s="1" t="s">
        <v>165</v>
      </c>
      <c r="I107" s="1" t="s">
        <v>19</v>
      </c>
      <c r="J107" s="104" t="s">
        <v>325</v>
      </c>
      <c r="K107" s="1" t="s">
        <v>320</v>
      </c>
    </row>
    <row r="108" spans="1:11" ht="54.95" customHeight="1" x14ac:dyDescent="0.25">
      <c r="A108" s="257">
        <v>107</v>
      </c>
      <c r="B108" s="1" t="s">
        <v>101</v>
      </c>
      <c r="C108" s="1" t="s">
        <v>29</v>
      </c>
      <c r="D108" s="1" t="s">
        <v>328</v>
      </c>
      <c r="E108" s="1">
        <f t="shared" si="9"/>
        <v>4.7600000000000003E-3</v>
      </c>
      <c r="F108" s="1">
        <v>47600</v>
      </c>
      <c r="G108" s="1">
        <f t="shared" si="11"/>
        <v>952</v>
      </c>
      <c r="H108" s="1" t="s">
        <v>165</v>
      </c>
      <c r="I108" s="1" t="s">
        <v>19</v>
      </c>
      <c r="J108" s="105" t="s">
        <v>327</v>
      </c>
      <c r="K108" s="1" t="s">
        <v>320</v>
      </c>
    </row>
    <row r="109" spans="1:11" ht="54.95" customHeight="1" x14ac:dyDescent="0.25">
      <c r="A109" s="257">
        <v>108</v>
      </c>
      <c r="B109" s="1" t="s">
        <v>101</v>
      </c>
      <c r="C109" s="1" t="s">
        <v>29</v>
      </c>
      <c r="D109" s="1" t="s">
        <v>330</v>
      </c>
      <c r="E109" s="1">
        <f t="shared" si="9"/>
        <v>9.025E-3</v>
      </c>
      <c r="F109" s="1">
        <v>90250</v>
      </c>
      <c r="G109" s="1">
        <f t="shared" si="11"/>
        <v>1805</v>
      </c>
      <c r="H109" s="1" t="s">
        <v>165</v>
      </c>
      <c r="I109" s="1" t="s">
        <v>19</v>
      </c>
      <c r="J109" s="106" t="s">
        <v>329</v>
      </c>
      <c r="K109" s="1" t="s">
        <v>320</v>
      </c>
    </row>
    <row r="110" spans="1:11" ht="54.95" customHeight="1" x14ac:dyDescent="0.25">
      <c r="A110" s="257">
        <v>109</v>
      </c>
      <c r="B110" s="1" t="s">
        <v>101</v>
      </c>
      <c r="C110" s="1" t="s">
        <v>29</v>
      </c>
      <c r="D110" s="1" t="s">
        <v>332</v>
      </c>
      <c r="E110" s="1">
        <f t="shared" si="9"/>
        <v>2.0100000000000001E-3</v>
      </c>
      <c r="F110" s="1">
        <v>20100</v>
      </c>
      <c r="G110" s="1">
        <f t="shared" si="11"/>
        <v>402</v>
      </c>
      <c r="H110" s="1" t="s">
        <v>165</v>
      </c>
      <c r="I110" s="1" t="s">
        <v>19</v>
      </c>
      <c r="J110" s="107" t="s">
        <v>331</v>
      </c>
      <c r="K110" s="1" t="s">
        <v>320</v>
      </c>
    </row>
    <row r="111" spans="1:11" ht="54.95" customHeight="1" x14ac:dyDescent="0.25">
      <c r="A111" s="257">
        <v>110</v>
      </c>
      <c r="B111" s="1" t="s">
        <v>101</v>
      </c>
      <c r="C111" s="1" t="s">
        <v>29</v>
      </c>
      <c r="D111" s="1" t="s">
        <v>334</v>
      </c>
      <c r="E111" s="1">
        <f t="shared" si="9"/>
        <v>5.9150000000000001E-3</v>
      </c>
      <c r="F111" s="1">
        <v>59150</v>
      </c>
      <c r="G111" s="1">
        <f t="shared" si="11"/>
        <v>1183</v>
      </c>
      <c r="H111" s="1" t="s">
        <v>165</v>
      </c>
      <c r="I111" s="1" t="s">
        <v>19</v>
      </c>
      <c r="J111" s="108" t="s">
        <v>333</v>
      </c>
      <c r="K111" s="1" t="s">
        <v>320</v>
      </c>
    </row>
    <row r="112" spans="1:11" ht="54.95" customHeight="1" x14ac:dyDescent="0.25">
      <c r="A112" s="257">
        <v>111</v>
      </c>
      <c r="B112" s="1" t="s">
        <v>101</v>
      </c>
      <c r="C112" s="1" t="s">
        <v>29</v>
      </c>
      <c r="D112" s="1" t="s">
        <v>336</v>
      </c>
      <c r="E112" s="1">
        <f t="shared" si="9"/>
        <v>6.4599999999999996E-3</v>
      </c>
      <c r="F112" s="1">
        <v>64599.999999999993</v>
      </c>
      <c r="G112" s="1">
        <f t="shared" si="11"/>
        <v>1291.9999999999998</v>
      </c>
      <c r="H112" s="1" t="s">
        <v>165</v>
      </c>
      <c r="I112" s="1" t="s">
        <v>19</v>
      </c>
      <c r="J112" s="109" t="s">
        <v>335</v>
      </c>
      <c r="K112" s="1" t="s">
        <v>320</v>
      </c>
    </row>
    <row r="113" spans="1:11" ht="54.95" customHeight="1" x14ac:dyDescent="0.25">
      <c r="A113" s="257">
        <v>112</v>
      </c>
      <c r="B113" s="1" t="s">
        <v>22</v>
      </c>
      <c r="C113" s="1" t="s">
        <v>18</v>
      </c>
      <c r="D113" s="1" t="s">
        <v>340</v>
      </c>
      <c r="E113" s="1">
        <f t="shared" si="9"/>
        <v>0.05</v>
      </c>
      <c r="F113" s="1">
        <f>G113*50</f>
        <v>500000</v>
      </c>
      <c r="G113" s="1">
        <v>10000</v>
      </c>
      <c r="H113" s="1" t="s">
        <v>339</v>
      </c>
      <c r="I113" s="1" t="s">
        <v>25</v>
      </c>
      <c r="J113" s="110" t="s">
        <v>338</v>
      </c>
      <c r="K113" s="1" t="s">
        <v>337</v>
      </c>
    </row>
    <row r="114" spans="1:11" ht="54.95" customHeight="1" x14ac:dyDescent="0.25">
      <c r="A114" s="257">
        <v>113</v>
      </c>
      <c r="B114" s="1" t="s">
        <v>125</v>
      </c>
      <c r="C114" s="1" t="s">
        <v>164</v>
      </c>
      <c r="D114" s="1" t="s">
        <v>343</v>
      </c>
      <c r="E114" s="1">
        <f t="shared" si="9"/>
        <v>3.9500000000000004E-3</v>
      </c>
      <c r="F114" s="1">
        <v>39500</v>
      </c>
      <c r="G114" s="1">
        <f t="shared" ref="G114:G115" si="12">F114*2%</f>
        <v>790</v>
      </c>
      <c r="H114" s="1" t="s">
        <v>165</v>
      </c>
      <c r="I114" s="1" t="s">
        <v>181</v>
      </c>
      <c r="J114" s="111" t="s">
        <v>342</v>
      </c>
      <c r="K114" s="1" t="s">
        <v>341</v>
      </c>
    </row>
    <row r="115" spans="1:11" ht="54.95" customHeight="1" x14ac:dyDescent="0.25">
      <c r="A115" s="257">
        <v>114</v>
      </c>
      <c r="B115" s="1" t="s">
        <v>101</v>
      </c>
      <c r="C115" s="1" t="s">
        <v>29</v>
      </c>
      <c r="D115" s="1" t="s">
        <v>346</v>
      </c>
      <c r="E115" s="1">
        <f t="shared" si="9"/>
        <v>1.5900000000000001E-3</v>
      </c>
      <c r="F115" s="1">
        <v>15900</v>
      </c>
      <c r="G115" s="1">
        <f t="shared" si="12"/>
        <v>318</v>
      </c>
      <c r="H115" s="1" t="s">
        <v>165</v>
      </c>
      <c r="I115" s="1" t="s">
        <v>19</v>
      </c>
      <c r="J115" s="112" t="s">
        <v>345</v>
      </c>
      <c r="K115" s="1" t="s">
        <v>344</v>
      </c>
    </row>
    <row r="116" spans="1:11" ht="54.95" customHeight="1" x14ac:dyDescent="0.25">
      <c r="A116" s="257">
        <v>115</v>
      </c>
      <c r="B116" s="1" t="s">
        <v>21</v>
      </c>
      <c r="C116" s="1" t="s">
        <v>18</v>
      </c>
      <c r="D116" s="1" t="s">
        <v>349</v>
      </c>
      <c r="E116" s="1">
        <f t="shared" si="9"/>
        <v>0.28999999999999998</v>
      </c>
      <c r="F116" s="1">
        <f>G116*50</f>
        <v>2900000</v>
      </c>
      <c r="G116" s="1">
        <v>58000</v>
      </c>
      <c r="H116" s="1" t="s">
        <v>165</v>
      </c>
      <c r="I116" s="1" t="s">
        <v>89</v>
      </c>
      <c r="J116" s="113" t="s">
        <v>348</v>
      </c>
      <c r="K116" s="1" t="s">
        <v>347</v>
      </c>
    </row>
    <row r="117" spans="1:11" ht="54.95" customHeight="1" x14ac:dyDescent="0.25">
      <c r="A117" s="257">
        <v>116</v>
      </c>
      <c r="B117" s="1" t="s">
        <v>22</v>
      </c>
      <c r="C117" s="1" t="s">
        <v>18</v>
      </c>
      <c r="D117" s="1" t="s">
        <v>353</v>
      </c>
      <c r="E117" s="1">
        <f t="shared" si="9"/>
        <v>0</v>
      </c>
      <c r="F117" s="1">
        <v>0</v>
      </c>
      <c r="G117" s="1">
        <v>0</v>
      </c>
      <c r="H117" s="1" t="s">
        <v>339</v>
      </c>
      <c r="I117" s="1" t="s">
        <v>352</v>
      </c>
      <c r="J117" s="114" t="s">
        <v>351</v>
      </c>
      <c r="K117" s="1" t="s">
        <v>350</v>
      </c>
    </row>
    <row r="118" spans="1:11" ht="54.95" customHeight="1" x14ac:dyDescent="0.25">
      <c r="A118" s="257">
        <v>117</v>
      </c>
      <c r="B118" s="1" t="s">
        <v>54</v>
      </c>
      <c r="C118" s="1" t="s">
        <v>63</v>
      </c>
      <c r="D118" s="1" t="s">
        <v>752</v>
      </c>
      <c r="E118" s="1">
        <f t="shared" si="9"/>
        <v>4.5624999999999999E-2</v>
      </c>
      <c r="F118" s="1">
        <v>456250</v>
      </c>
      <c r="G118" s="1">
        <f>F118*2%</f>
        <v>9125</v>
      </c>
      <c r="H118" s="1" t="s">
        <v>165</v>
      </c>
      <c r="I118" s="1" t="s">
        <v>308</v>
      </c>
      <c r="J118" s="115" t="s">
        <v>355</v>
      </c>
      <c r="K118" s="1" t="s">
        <v>354</v>
      </c>
    </row>
    <row r="119" spans="1:11" ht="54.95" customHeight="1" x14ac:dyDescent="0.25">
      <c r="A119" s="257">
        <v>118</v>
      </c>
      <c r="B119" s="1" t="s">
        <v>54</v>
      </c>
      <c r="C119" s="1" t="s">
        <v>63</v>
      </c>
      <c r="D119" s="1" t="s">
        <v>754</v>
      </c>
      <c r="E119" s="1">
        <f t="shared" si="9"/>
        <v>5.8379500000000001E-2</v>
      </c>
      <c r="F119" s="1">
        <v>583795</v>
      </c>
      <c r="G119" s="1">
        <f>F119*2%</f>
        <v>11675.9</v>
      </c>
      <c r="H119" s="1" t="s">
        <v>165</v>
      </c>
      <c r="I119" s="1" t="s">
        <v>308</v>
      </c>
      <c r="J119" s="116" t="s">
        <v>356</v>
      </c>
      <c r="K119" s="1" t="s">
        <v>753</v>
      </c>
    </row>
    <row r="120" spans="1:11" ht="54.95" customHeight="1" x14ac:dyDescent="0.25">
      <c r="A120" s="257">
        <v>119</v>
      </c>
      <c r="B120" s="1" t="s">
        <v>101</v>
      </c>
      <c r="C120" s="1" t="s">
        <v>29</v>
      </c>
      <c r="D120" s="1" t="s">
        <v>358</v>
      </c>
      <c r="E120" s="1">
        <f t="shared" si="9"/>
        <v>5.9150000000000001E-3</v>
      </c>
      <c r="F120" s="1">
        <v>59150</v>
      </c>
      <c r="G120" s="1">
        <f t="shared" ref="G120:G124" si="13">F120*2%</f>
        <v>1183</v>
      </c>
      <c r="H120" s="1" t="s">
        <v>165</v>
      </c>
      <c r="I120" s="1" t="s">
        <v>19</v>
      </c>
      <c r="J120" s="117" t="s">
        <v>357</v>
      </c>
      <c r="K120" s="1" t="s">
        <v>344</v>
      </c>
    </row>
    <row r="121" spans="1:11" ht="54.95" customHeight="1" x14ac:dyDescent="0.25">
      <c r="A121" s="257">
        <v>120</v>
      </c>
      <c r="B121" s="1" t="s">
        <v>101</v>
      </c>
      <c r="C121" s="1" t="s">
        <v>29</v>
      </c>
      <c r="D121" s="1" t="s">
        <v>360</v>
      </c>
      <c r="E121" s="1">
        <f t="shared" si="9"/>
        <v>4.3499999999999997E-3</v>
      </c>
      <c r="F121" s="1">
        <v>43500</v>
      </c>
      <c r="G121" s="1">
        <f t="shared" si="13"/>
        <v>870</v>
      </c>
      <c r="H121" s="1" t="s">
        <v>165</v>
      </c>
      <c r="I121" s="1" t="s">
        <v>19</v>
      </c>
      <c r="J121" s="118" t="s">
        <v>359</v>
      </c>
      <c r="K121" s="1" t="s">
        <v>344</v>
      </c>
    </row>
    <row r="122" spans="1:11" ht="54.95" customHeight="1" x14ac:dyDescent="0.25">
      <c r="A122" s="257">
        <v>121</v>
      </c>
      <c r="B122" s="1" t="s">
        <v>101</v>
      </c>
      <c r="C122" s="1" t="s">
        <v>29</v>
      </c>
      <c r="D122" s="1" t="s">
        <v>362</v>
      </c>
      <c r="E122" s="1">
        <f t="shared" si="9"/>
        <v>8.2699999999999996E-3</v>
      </c>
      <c r="F122" s="1">
        <v>82700</v>
      </c>
      <c r="G122" s="1">
        <f t="shared" si="13"/>
        <v>1654</v>
      </c>
      <c r="H122" s="1" t="s">
        <v>165</v>
      </c>
      <c r="I122" s="1" t="s">
        <v>19</v>
      </c>
      <c r="J122" s="119" t="s">
        <v>361</v>
      </c>
      <c r="K122" s="1" t="s">
        <v>344</v>
      </c>
    </row>
    <row r="123" spans="1:11" ht="54.95" customHeight="1" x14ac:dyDescent="0.25">
      <c r="A123" s="257">
        <v>122</v>
      </c>
      <c r="B123" s="1" t="s">
        <v>101</v>
      </c>
      <c r="C123" s="1" t="s">
        <v>29</v>
      </c>
      <c r="D123" s="1" t="s">
        <v>364</v>
      </c>
      <c r="E123" s="1">
        <f t="shared" si="9"/>
        <v>4.3600000000000002E-3</v>
      </c>
      <c r="F123" s="1">
        <v>43600</v>
      </c>
      <c r="G123" s="1">
        <f t="shared" si="13"/>
        <v>872</v>
      </c>
      <c r="H123" s="1" t="s">
        <v>165</v>
      </c>
      <c r="I123" s="1" t="s">
        <v>19</v>
      </c>
      <c r="J123" s="120" t="s">
        <v>363</v>
      </c>
      <c r="K123" s="1" t="s">
        <v>320</v>
      </c>
    </row>
    <row r="124" spans="1:11" ht="54.95" customHeight="1" x14ac:dyDescent="0.25">
      <c r="A124" s="257">
        <v>123</v>
      </c>
      <c r="B124" s="1" t="s">
        <v>54</v>
      </c>
      <c r="C124" s="1" t="s">
        <v>63</v>
      </c>
      <c r="D124" s="1" t="s">
        <v>367</v>
      </c>
      <c r="E124" s="1">
        <f t="shared" si="9"/>
        <v>0.20039999999999999</v>
      </c>
      <c r="F124" s="1">
        <v>2004000</v>
      </c>
      <c r="G124" s="1">
        <f t="shared" si="13"/>
        <v>40080</v>
      </c>
      <c r="H124" s="1" t="s">
        <v>165</v>
      </c>
      <c r="I124" s="1" t="s">
        <v>13</v>
      </c>
      <c r="J124" s="121" t="s">
        <v>366</v>
      </c>
      <c r="K124" s="1" t="s">
        <v>365</v>
      </c>
    </row>
    <row r="125" spans="1:11" ht="54.95" customHeight="1" x14ac:dyDescent="0.25">
      <c r="A125" s="257">
        <v>124</v>
      </c>
      <c r="B125" s="1" t="s">
        <v>101</v>
      </c>
      <c r="C125" s="1" t="s">
        <v>29</v>
      </c>
      <c r="D125" s="1" t="s">
        <v>369</v>
      </c>
      <c r="E125" s="1">
        <f t="shared" si="9"/>
        <v>9.7999999999999997E-3</v>
      </c>
      <c r="F125" s="1">
        <v>98000</v>
      </c>
      <c r="G125" s="1">
        <f t="shared" ref="G125:G132" si="14">F125*2%</f>
        <v>1960</v>
      </c>
      <c r="H125" s="1" t="s">
        <v>165</v>
      </c>
      <c r="I125" s="1" t="s">
        <v>19</v>
      </c>
      <c r="J125" s="122" t="s">
        <v>368</v>
      </c>
      <c r="K125" s="1" t="s">
        <v>344</v>
      </c>
    </row>
    <row r="126" spans="1:11" ht="54.95" customHeight="1" x14ac:dyDescent="0.25">
      <c r="A126" s="257">
        <v>125</v>
      </c>
      <c r="B126" s="1" t="s">
        <v>101</v>
      </c>
      <c r="C126" s="1" t="s">
        <v>29</v>
      </c>
      <c r="D126" s="1" t="s">
        <v>371</v>
      </c>
      <c r="E126" s="1">
        <f t="shared" si="9"/>
        <v>4.3600000000000002E-3</v>
      </c>
      <c r="F126" s="1">
        <v>43600</v>
      </c>
      <c r="G126" s="1">
        <f t="shared" si="14"/>
        <v>872</v>
      </c>
      <c r="H126" s="1" t="s">
        <v>165</v>
      </c>
      <c r="I126" s="1" t="s">
        <v>19</v>
      </c>
      <c r="J126" s="123" t="s">
        <v>370</v>
      </c>
      <c r="K126" s="1" t="s">
        <v>344</v>
      </c>
    </row>
    <row r="127" spans="1:11" ht="54.95" customHeight="1" x14ac:dyDescent="0.25">
      <c r="A127" s="257">
        <v>126</v>
      </c>
      <c r="B127" s="1" t="s">
        <v>101</v>
      </c>
      <c r="C127" s="1" t="s">
        <v>29</v>
      </c>
      <c r="D127" s="1" t="s">
        <v>373</v>
      </c>
      <c r="E127" s="1">
        <f t="shared" si="9"/>
        <v>6.4599999999999996E-3</v>
      </c>
      <c r="F127" s="1">
        <v>64599.999999999993</v>
      </c>
      <c r="G127" s="1">
        <f t="shared" si="14"/>
        <v>1291.9999999999998</v>
      </c>
      <c r="H127" s="1" t="s">
        <v>165</v>
      </c>
      <c r="I127" s="1" t="s">
        <v>19</v>
      </c>
      <c r="J127" s="124" t="s">
        <v>372</v>
      </c>
      <c r="K127" s="1" t="s">
        <v>344</v>
      </c>
    </row>
    <row r="128" spans="1:11" ht="54.95" customHeight="1" x14ac:dyDescent="0.25">
      <c r="A128" s="257">
        <v>127</v>
      </c>
      <c r="B128" s="1" t="s">
        <v>101</v>
      </c>
      <c r="C128" s="1" t="s">
        <v>29</v>
      </c>
      <c r="D128" s="1" t="s">
        <v>375</v>
      </c>
      <c r="E128" s="1">
        <f t="shared" si="9"/>
        <v>2.0100000000000001E-3</v>
      </c>
      <c r="F128" s="1">
        <v>20100</v>
      </c>
      <c r="G128" s="1">
        <f t="shared" si="14"/>
        <v>402</v>
      </c>
      <c r="H128" s="1" t="s">
        <v>165</v>
      </c>
      <c r="I128" s="1" t="s">
        <v>19</v>
      </c>
      <c r="J128" s="125" t="s">
        <v>374</v>
      </c>
      <c r="K128" s="1" t="s">
        <v>344</v>
      </c>
    </row>
    <row r="129" spans="1:11" ht="54.95" customHeight="1" x14ac:dyDescent="0.25">
      <c r="A129" s="257">
        <v>128</v>
      </c>
      <c r="B129" s="1" t="s">
        <v>101</v>
      </c>
      <c r="C129" s="1" t="s">
        <v>29</v>
      </c>
      <c r="D129" s="1" t="s">
        <v>377</v>
      </c>
      <c r="E129" s="1">
        <f t="shared" si="9"/>
        <v>9.025E-3</v>
      </c>
      <c r="F129" s="1">
        <v>90250</v>
      </c>
      <c r="G129" s="1">
        <f t="shared" si="14"/>
        <v>1805</v>
      </c>
      <c r="H129" s="1" t="s">
        <v>165</v>
      </c>
      <c r="I129" s="1" t="s">
        <v>19</v>
      </c>
      <c r="J129" s="126" t="s">
        <v>376</v>
      </c>
      <c r="K129" s="1" t="s">
        <v>344</v>
      </c>
    </row>
    <row r="130" spans="1:11" ht="54.95" customHeight="1" x14ac:dyDescent="0.25">
      <c r="A130" s="257">
        <v>129</v>
      </c>
      <c r="B130" s="1" t="s">
        <v>54</v>
      </c>
      <c r="C130" s="1" t="s">
        <v>63</v>
      </c>
      <c r="D130" s="1" t="s">
        <v>380</v>
      </c>
      <c r="E130" s="1">
        <f t="shared" si="9"/>
        <v>0.20100000000000001</v>
      </c>
      <c r="F130" s="1">
        <v>2010000.0000000002</v>
      </c>
      <c r="G130" s="1">
        <f t="shared" si="14"/>
        <v>40200.000000000007</v>
      </c>
      <c r="H130" s="1" t="s">
        <v>339</v>
      </c>
      <c r="I130" s="1" t="s">
        <v>13</v>
      </c>
      <c r="J130" s="127" t="s">
        <v>379</v>
      </c>
      <c r="K130" s="1" t="s">
        <v>378</v>
      </c>
    </row>
    <row r="131" spans="1:11" ht="54.95" customHeight="1" x14ac:dyDescent="0.25">
      <c r="A131" s="257">
        <v>130</v>
      </c>
      <c r="B131" s="1" t="s">
        <v>125</v>
      </c>
      <c r="C131" s="1" t="s">
        <v>164</v>
      </c>
      <c r="D131" s="1" t="s">
        <v>382</v>
      </c>
      <c r="E131" s="1">
        <f t="shared" ref="E131:E197" si="15">F131/10000000</f>
        <v>4.4000000000000003E-3</v>
      </c>
      <c r="F131" s="1">
        <v>44000</v>
      </c>
      <c r="G131" s="1">
        <f t="shared" si="14"/>
        <v>880</v>
      </c>
      <c r="H131" s="1" t="s">
        <v>165</v>
      </c>
      <c r="I131" s="1" t="s">
        <v>181</v>
      </c>
      <c r="J131" s="128" t="s">
        <v>381</v>
      </c>
      <c r="K131" s="1" t="s">
        <v>341</v>
      </c>
    </row>
    <row r="132" spans="1:11" ht="54.95" customHeight="1" x14ac:dyDescent="0.25">
      <c r="A132" s="257">
        <v>131</v>
      </c>
      <c r="B132" s="1" t="s">
        <v>125</v>
      </c>
      <c r="C132" s="1" t="s">
        <v>164</v>
      </c>
      <c r="D132" s="1" t="s">
        <v>384</v>
      </c>
      <c r="E132" s="1">
        <f t="shared" si="15"/>
        <v>3.3500000000000001E-3</v>
      </c>
      <c r="F132" s="1">
        <v>33500</v>
      </c>
      <c r="G132" s="1">
        <f t="shared" si="14"/>
        <v>670</v>
      </c>
      <c r="H132" s="1" t="s">
        <v>165</v>
      </c>
      <c r="I132" s="1" t="s">
        <v>181</v>
      </c>
      <c r="J132" s="129" t="s">
        <v>383</v>
      </c>
      <c r="K132" s="1" t="s">
        <v>341</v>
      </c>
    </row>
    <row r="133" spans="1:11" ht="54.95" customHeight="1" x14ac:dyDescent="0.25">
      <c r="A133" s="257">
        <v>132</v>
      </c>
      <c r="B133" s="1" t="s">
        <v>101</v>
      </c>
      <c r="C133" s="1" t="s">
        <v>18</v>
      </c>
      <c r="D133" s="1" t="s">
        <v>387</v>
      </c>
      <c r="E133" s="1">
        <f t="shared" si="15"/>
        <v>0</v>
      </c>
      <c r="F133" s="1">
        <v>0</v>
      </c>
      <c r="G133" s="1">
        <v>0</v>
      </c>
      <c r="H133" s="1" t="s">
        <v>165</v>
      </c>
      <c r="I133" s="1" t="s">
        <v>308</v>
      </c>
      <c r="J133" s="130" t="s">
        <v>386</v>
      </c>
      <c r="K133" s="1" t="s">
        <v>385</v>
      </c>
    </row>
    <row r="134" spans="1:11" ht="54.95" customHeight="1" x14ac:dyDescent="0.25">
      <c r="A134" s="257">
        <v>133</v>
      </c>
      <c r="B134" s="1" t="s">
        <v>125</v>
      </c>
      <c r="C134" s="1" t="s">
        <v>164</v>
      </c>
      <c r="D134" s="1" t="s">
        <v>389</v>
      </c>
      <c r="E134" s="1">
        <f t="shared" si="15"/>
        <v>8.0000000000000004E-4</v>
      </c>
      <c r="F134" s="1">
        <v>8000</v>
      </c>
      <c r="G134" s="1">
        <f t="shared" ref="G134:G135" si="16">F134*2%</f>
        <v>160</v>
      </c>
      <c r="H134" s="1" t="s">
        <v>165</v>
      </c>
      <c r="I134" s="1" t="s">
        <v>181</v>
      </c>
      <c r="J134" s="131" t="s">
        <v>388</v>
      </c>
      <c r="K134" s="1" t="s">
        <v>341</v>
      </c>
    </row>
    <row r="135" spans="1:11" ht="54.95" customHeight="1" x14ac:dyDescent="0.25">
      <c r="A135" s="257">
        <v>134</v>
      </c>
      <c r="B135" s="1" t="s">
        <v>101</v>
      </c>
      <c r="C135" s="1" t="s">
        <v>29</v>
      </c>
      <c r="D135" s="1" t="s">
        <v>391</v>
      </c>
      <c r="E135" s="1">
        <f t="shared" si="15"/>
        <v>9.7999999999999997E-3</v>
      </c>
      <c r="F135" s="1">
        <v>98000</v>
      </c>
      <c r="G135" s="1">
        <f t="shared" si="16"/>
        <v>1960</v>
      </c>
      <c r="H135" s="1" t="s">
        <v>165</v>
      </c>
      <c r="I135" s="1" t="s">
        <v>19</v>
      </c>
      <c r="J135" s="132" t="s">
        <v>390</v>
      </c>
      <c r="K135" s="1" t="s">
        <v>320</v>
      </c>
    </row>
    <row r="136" spans="1:11" ht="54.95" customHeight="1" x14ac:dyDescent="0.25">
      <c r="A136" s="257">
        <v>135</v>
      </c>
      <c r="B136" s="1" t="s">
        <v>101</v>
      </c>
      <c r="C136" s="1" t="s">
        <v>18</v>
      </c>
      <c r="D136" s="1" t="s">
        <v>394</v>
      </c>
      <c r="E136" s="1">
        <f t="shared" si="15"/>
        <v>0</v>
      </c>
      <c r="F136" s="1">
        <v>0</v>
      </c>
      <c r="G136" s="1">
        <v>0</v>
      </c>
      <c r="H136" s="1" t="s">
        <v>165</v>
      </c>
      <c r="I136" s="1" t="s">
        <v>308</v>
      </c>
      <c r="J136" s="133" t="s">
        <v>393</v>
      </c>
      <c r="K136" s="1" t="s">
        <v>392</v>
      </c>
    </row>
    <row r="137" spans="1:11" ht="54.95" customHeight="1" x14ac:dyDescent="0.25">
      <c r="A137" s="257">
        <v>136</v>
      </c>
      <c r="B137" s="1" t="s">
        <v>54</v>
      </c>
      <c r="C137" s="1" t="s">
        <v>63</v>
      </c>
      <c r="D137" s="1" t="s">
        <v>397</v>
      </c>
      <c r="E137" s="1">
        <f t="shared" si="15"/>
        <v>0.20039999999999999</v>
      </c>
      <c r="F137" s="1">
        <v>2004000</v>
      </c>
      <c r="G137" s="1">
        <f t="shared" ref="G137:G138" si="17">F137*2%</f>
        <v>40080</v>
      </c>
      <c r="H137" s="1" t="s">
        <v>165</v>
      </c>
      <c r="I137" s="1" t="s">
        <v>13</v>
      </c>
      <c r="J137" s="134" t="s">
        <v>396</v>
      </c>
      <c r="K137" s="1" t="s">
        <v>395</v>
      </c>
    </row>
    <row r="138" spans="1:11" ht="54.95" customHeight="1" x14ac:dyDescent="0.25">
      <c r="A138" s="257">
        <v>137</v>
      </c>
      <c r="B138" s="1" t="s">
        <v>101</v>
      </c>
      <c r="C138" s="1" t="s">
        <v>29</v>
      </c>
      <c r="D138" s="1" t="s">
        <v>399</v>
      </c>
      <c r="E138" s="1">
        <f t="shared" si="15"/>
        <v>4.7600000000000003E-3</v>
      </c>
      <c r="F138" s="1">
        <v>47600</v>
      </c>
      <c r="G138" s="1">
        <f t="shared" si="17"/>
        <v>952</v>
      </c>
      <c r="H138" s="1" t="s">
        <v>165</v>
      </c>
      <c r="I138" s="1" t="s">
        <v>19</v>
      </c>
      <c r="J138" s="135" t="s">
        <v>398</v>
      </c>
      <c r="K138" s="1" t="s">
        <v>344</v>
      </c>
    </row>
    <row r="139" spans="1:11" ht="54.95" customHeight="1" x14ac:dyDescent="0.25">
      <c r="A139" s="257">
        <v>138</v>
      </c>
      <c r="B139" s="1" t="s">
        <v>403</v>
      </c>
      <c r="C139" s="1" t="s">
        <v>164</v>
      </c>
      <c r="D139" s="1" t="s">
        <v>402</v>
      </c>
      <c r="E139" s="1">
        <f t="shared" si="15"/>
        <v>1.85</v>
      </c>
      <c r="F139" s="1">
        <v>18500000</v>
      </c>
      <c r="G139" s="1">
        <v>370000</v>
      </c>
      <c r="H139" s="1" t="s">
        <v>93</v>
      </c>
      <c r="I139" s="1" t="s">
        <v>13</v>
      </c>
      <c r="J139" s="136" t="s">
        <v>401</v>
      </c>
      <c r="K139" s="1" t="s">
        <v>400</v>
      </c>
    </row>
    <row r="140" spans="1:11" ht="54.95" customHeight="1" x14ac:dyDescent="0.25">
      <c r="A140" s="257">
        <v>139</v>
      </c>
      <c r="B140" s="1" t="s">
        <v>54</v>
      </c>
      <c r="C140" s="1" t="s">
        <v>18</v>
      </c>
      <c r="D140" s="1" t="s">
        <v>406</v>
      </c>
      <c r="E140" s="1">
        <f t="shared" si="15"/>
        <v>0.16100000000000003</v>
      </c>
      <c r="F140" s="1">
        <v>1610000.0000000002</v>
      </c>
      <c r="G140" s="1">
        <v>48500</v>
      </c>
      <c r="H140" s="1" t="s">
        <v>93</v>
      </c>
      <c r="I140" s="1" t="s">
        <v>111</v>
      </c>
      <c r="J140" s="137" t="s">
        <v>405</v>
      </c>
      <c r="K140" s="1" t="s">
        <v>404</v>
      </c>
    </row>
    <row r="141" spans="1:11" ht="54.95" customHeight="1" x14ac:dyDescent="0.25">
      <c r="A141" s="257">
        <v>140</v>
      </c>
      <c r="B141" s="1" t="s">
        <v>54</v>
      </c>
      <c r="C141" s="1" t="s">
        <v>63</v>
      </c>
      <c r="D141" s="1" t="s">
        <v>409</v>
      </c>
      <c r="E141" s="1">
        <f t="shared" si="15"/>
        <v>0.28749999999999998</v>
      </c>
      <c r="F141" s="1">
        <v>2875000</v>
      </c>
      <c r="G141" s="1">
        <v>71900</v>
      </c>
      <c r="H141" s="1" t="s">
        <v>93</v>
      </c>
      <c r="I141" s="1" t="s">
        <v>181</v>
      </c>
      <c r="J141" s="138" t="s">
        <v>408</v>
      </c>
      <c r="K141" s="1" t="s">
        <v>407</v>
      </c>
    </row>
    <row r="142" spans="1:11" ht="54.95" customHeight="1" x14ac:dyDescent="0.25">
      <c r="A142" s="257">
        <v>141</v>
      </c>
      <c r="B142" s="1" t="s">
        <v>21</v>
      </c>
      <c r="C142" s="1" t="s">
        <v>18</v>
      </c>
      <c r="D142" s="1" t="s">
        <v>412</v>
      </c>
      <c r="E142" s="1">
        <f t="shared" si="15"/>
        <v>1.91</v>
      </c>
      <c r="F142" s="1">
        <v>19100000</v>
      </c>
      <c r="G142" s="1">
        <v>383000</v>
      </c>
      <c r="H142" s="1" t="s">
        <v>93</v>
      </c>
      <c r="I142" s="1" t="s">
        <v>89</v>
      </c>
      <c r="J142" s="139" t="s">
        <v>411</v>
      </c>
      <c r="K142" s="1" t="s">
        <v>410</v>
      </c>
    </row>
    <row r="143" spans="1:11" ht="54.95" customHeight="1" x14ac:dyDescent="0.25">
      <c r="A143" s="257">
        <v>142</v>
      </c>
      <c r="B143" s="1" t="s">
        <v>141</v>
      </c>
      <c r="C143" s="1" t="s">
        <v>18</v>
      </c>
      <c r="D143" s="1" t="s">
        <v>415</v>
      </c>
      <c r="E143" s="1">
        <f t="shared" si="15"/>
        <v>3.2199999999999999E-2</v>
      </c>
      <c r="F143" s="1">
        <v>322000</v>
      </c>
      <c r="G143" s="1">
        <v>13000</v>
      </c>
      <c r="H143" s="1" t="s">
        <v>93</v>
      </c>
      <c r="I143" s="1" t="s">
        <v>181</v>
      </c>
      <c r="J143" s="140" t="s">
        <v>414</v>
      </c>
      <c r="K143" s="1" t="s">
        <v>413</v>
      </c>
    </row>
    <row r="144" spans="1:11" ht="54.95" customHeight="1" x14ac:dyDescent="0.25">
      <c r="A144" s="257">
        <v>143</v>
      </c>
      <c r="B144" s="1" t="s">
        <v>54</v>
      </c>
      <c r="C144" s="1" t="s">
        <v>63</v>
      </c>
      <c r="D144" s="1" t="s">
        <v>418</v>
      </c>
      <c r="E144" s="1">
        <f t="shared" si="15"/>
        <v>0.34409999999999996</v>
      </c>
      <c r="F144" s="1">
        <v>3440999.9999999995</v>
      </c>
      <c r="G144" s="1">
        <v>86100</v>
      </c>
      <c r="H144" s="1" t="s">
        <v>110</v>
      </c>
      <c r="I144" s="1" t="s">
        <v>13</v>
      </c>
      <c r="J144" s="141" t="s">
        <v>417</v>
      </c>
      <c r="K144" s="1" t="s">
        <v>416</v>
      </c>
    </row>
    <row r="145" spans="1:11" ht="54.95" customHeight="1" x14ac:dyDescent="0.25">
      <c r="A145" s="257">
        <v>144</v>
      </c>
      <c r="B145" s="1" t="s">
        <v>54</v>
      </c>
      <c r="C145" s="1" t="s">
        <v>164</v>
      </c>
      <c r="D145" s="1" t="s">
        <v>421</v>
      </c>
      <c r="E145" s="1">
        <f t="shared" si="15"/>
        <v>3.87</v>
      </c>
      <c r="F145" s="1">
        <v>38700000</v>
      </c>
      <c r="G145" s="1">
        <v>774000</v>
      </c>
      <c r="H145" s="1" t="s">
        <v>110</v>
      </c>
      <c r="I145" s="1" t="s">
        <v>128</v>
      </c>
      <c r="J145" s="142" t="s">
        <v>420</v>
      </c>
      <c r="K145" s="1" t="s">
        <v>419</v>
      </c>
    </row>
    <row r="146" spans="1:11" ht="54.95" customHeight="1" x14ac:dyDescent="0.25">
      <c r="A146" s="257">
        <v>145</v>
      </c>
      <c r="B146" s="1" t="s">
        <v>101</v>
      </c>
      <c r="C146" s="1" t="s">
        <v>29</v>
      </c>
      <c r="D146" s="1" t="s">
        <v>424</v>
      </c>
      <c r="E146" s="1">
        <f t="shared" si="15"/>
        <v>0.21149999999999999</v>
      </c>
      <c r="F146" s="1">
        <f t="shared" ref="F146:F148" si="18">G146*50</f>
        <v>2115000</v>
      </c>
      <c r="G146" s="1">
        <v>42300</v>
      </c>
      <c r="H146" s="1" t="s">
        <v>339</v>
      </c>
      <c r="I146" s="1" t="s">
        <v>25</v>
      </c>
      <c r="J146" s="143" t="s">
        <v>423</v>
      </c>
      <c r="K146" s="1" t="s">
        <v>422</v>
      </c>
    </row>
    <row r="147" spans="1:11" ht="54.95" customHeight="1" x14ac:dyDescent="0.25">
      <c r="A147" s="257">
        <v>146</v>
      </c>
      <c r="B147" s="1" t="s">
        <v>101</v>
      </c>
      <c r="C147" s="1" t="s">
        <v>29</v>
      </c>
      <c r="D147" s="1" t="s">
        <v>424</v>
      </c>
      <c r="E147" s="1">
        <f t="shared" si="15"/>
        <v>0.14799999999999999</v>
      </c>
      <c r="F147" s="1">
        <f t="shared" si="18"/>
        <v>1480000</v>
      </c>
      <c r="G147" s="1">
        <v>29600</v>
      </c>
      <c r="H147" s="1" t="s">
        <v>339</v>
      </c>
      <c r="I147" s="1" t="s">
        <v>25</v>
      </c>
      <c r="J147" s="144" t="s">
        <v>425</v>
      </c>
      <c r="K147" s="1" t="s">
        <v>422</v>
      </c>
    </row>
    <row r="148" spans="1:11" ht="54.95" customHeight="1" x14ac:dyDescent="0.25">
      <c r="A148" s="257">
        <v>147</v>
      </c>
      <c r="B148" s="1" t="s">
        <v>101</v>
      </c>
      <c r="C148" s="1" t="s">
        <v>29</v>
      </c>
      <c r="D148" s="1" t="s">
        <v>424</v>
      </c>
      <c r="E148" s="1">
        <f t="shared" si="15"/>
        <v>0.35949999999999999</v>
      </c>
      <c r="F148" s="1">
        <f t="shared" si="18"/>
        <v>3595000</v>
      </c>
      <c r="G148" s="1">
        <v>71900</v>
      </c>
      <c r="H148" s="1" t="s">
        <v>339</v>
      </c>
      <c r="I148" s="1" t="s">
        <v>25</v>
      </c>
      <c r="J148" s="145" t="s">
        <v>426</v>
      </c>
      <c r="K148" s="1" t="s">
        <v>422</v>
      </c>
    </row>
    <row r="149" spans="1:11" ht="54.95" customHeight="1" x14ac:dyDescent="0.25">
      <c r="A149" s="257">
        <v>148</v>
      </c>
      <c r="B149" s="1" t="s">
        <v>65</v>
      </c>
      <c r="C149" s="1" t="s">
        <v>63</v>
      </c>
      <c r="D149" s="1" t="s">
        <v>429</v>
      </c>
      <c r="E149" s="1">
        <f t="shared" si="15"/>
        <v>7.9799999999999996E-2</v>
      </c>
      <c r="F149" s="1">
        <v>798000</v>
      </c>
      <c r="G149" s="1">
        <f>F149*2%</f>
        <v>15960</v>
      </c>
      <c r="H149" s="1" t="s">
        <v>339</v>
      </c>
      <c r="I149" s="1" t="s">
        <v>19</v>
      </c>
      <c r="J149" s="146" t="s">
        <v>428</v>
      </c>
      <c r="K149" s="1" t="s">
        <v>427</v>
      </c>
    </row>
    <row r="150" spans="1:11" ht="54.95" customHeight="1" x14ac:dyDescent="0.25">
      <c r="A150" s="257">
        <v>149</v>
      </c>
      <c r="B150" s="1" t="s">
        <v>101</v>
      </c>
      <c r="C150" s="1" t="s">
        <v>29</v>
      </c>
      <c r="D150" s="1" t="s">
        <v>424</v>
      </c>
      <c r="E150" s="1">
        <f t="shared" si="15"/>
        <v>0.254</v>
      </c>
      <c r="F150" s="1">
        <f t="shared" ref="F150:F153" si="19">G150*50</f>
        <v>2540000</v>
      </c>
      <c r="G150" s="1">
        <v>50800</v>
      </c>
      <c r="H150" s="1" t="s">
        <v>339</v>
      </c>
      <c r="I150" s="1" t="s">
        <v>25</v>
      </c>
      <c r="J150" s="147" t="s">
        <v>430</v>
      </c>
      <c r="K150" s="1" t="s">
        <v>422</v>
      </c>
    </row>
    <row r="151" spans="1:11" ht="54.95" customHeight="1" x14ac:dyDescent="0.25">
      <c r="A151" s="257">
        <v>150</v>
      </c>
      <c r="B151" s="1" t="s">
        <v>101</v>
      </c>
      <c r="C151" s="1" t="s">
        <v>29</v>
      </c>
      <c r="D151" s="1" t="s">
        <v>433</v>
      </c>
      <c r="E151" s="1">
        <f t="shared" si="15"/>
        <v>0.14799999999999999</v>
      </c>
      <c r="F151" s="1">
        <f t="shared" si="19"/>
        <v>1480000</v>
      </c>
      <c r="G151" s="1">
        <v>29600</v>
      </c>
      <c r="H151" s="1" t="s">
        <v>339</v>
      </c>
      <c r="I151" s="1" t="s">
        <v>25</v>
      </c>
      <c r="J151" s="148" t="s">
        <v>432</v>
      </c>
      <c r="K151" s="1" t="s">
        <v>431</v>
      </c>
    </row>
    <row r="152" spans="1:11" ht="54.95" customHeight="1" x14ac:dyDescent="0.25">
      <c r="A152" s="257">
        <v>151</v>
      </c>
      <c r="B152" s="1" t="s">
        <v>101</v>
      </c>
      <c r="C152" s="1" t="s">
        <v>29</v>
      </c>
      <c r="D152" s="1" t="s">
        <v>435</v>
      </c>
      <c r="E152" s="1">
        <f t="shared" si="15"/>
        <v>0.44400000000000001</v>
      </c>
      <c r="F152" s="1">
        <f t="shared" si="19"/>
        <v>4440000</v>
      </c>
      <c r="G152" s="1">
        <v>88800</v>
      </c>
      <c r="H152" s="1" t="s">
        <v>339</v>
      </c>
      <c r="I152" s="1" t="s">
        <v>25</v>
      </c>
      <c r="J152" s="149" t="s">
        <v>434</v>
      </c>
      <c r="K152" s="1" t="s">
        <v>431</v>
      </c>
    </row>
    <row r="153" spans="1:11" ht="54.95" customHeight="1" x14ac:dyDescent="0.25">
      <c r="A153" s="257">
        <v>152</v>
      </c>
      <c r="B153" s="1" t="s">
        <v>101</v>
      </c>
      <c r="C153" s="1" t="s">
        <v>29</v>
      </c>
      <c r="D153" s="1" t="s">
        <v>424</v>
      </c>
      <c r="E153" s="1">
        <f t="shared" si="15"/>
        <v>0.29599999999999999</v>
      </c>
      <c r="F153" s="1">
        <f t="shared" si="19"/>
        <v>2960000</v>
      </c>
      <c r="G153" s="1">
        <v>59200</v>
      </c>
      <c r="H153" s="1" t="s">
        <v>339</v>
      </c>
      <c r="I153" s="1" t="s">
        <v>25</v>
      </c>
      <c r="J153" s="150" t="s">
        <v>436</v>
      </c>
      <c r="K153" s="1" t="s">
        <v>422</v>
      </c>
    </row>
    <row r="154" spans="1:11" ht="54.95" customHeight="1" x14ac:dyDescent="0.25">
      <c r="A154" s="257">
        <v>153</v>
      </c>
      <c r="B154" s="1" t="s">
        <v>54</v>
      </c>
      <c r="C154" s="1" t="s">
        <v>63</v>
      </c>
      <c r="D154" s="1" t="s">
        <v>439</v>
      </c>
      <c r="E154" s="1">
        <f t="shared" si="15"/>
        <v>0.20100000000000001</v>
      </c>
      <c r="F154" s="1">
        <v>2010000.0000000002</v>
      </c>
      <c r="G154" s="1">
        <f t="shared" ref="G154:G155" si="20">F154*2%</f>
        <v>40200.000000000007</v>
      </c>
      <c r="H154" s="1" t="s">
        <v>339</v>
      </c>
      <c r="I154" s="1" t="s">
        <v>13</v>
      </c>
      <c r="J154" s="151" t="s">
        <v>438</v>
      </c>
      <c r="K154" s="1" t="s">
        <v>437</v>
      </c>
    </row>
    <row r="155" spans="1:11" ht="54.95" customHeight="1" x14ac:dyDescent="0.25">
      <c r="A155" s="257">
        <v>154</v>
      </c>
      <c r="B155" s="1" t="s">
        <v>65</v>
      </c>
      <c r="C155" s="1" t="s">
        <v>63</v>
      </c>
      <c r="D155" s="1" t="s">
        <v>442</v>
      </c>
      <c r="E155" s="1">
        <f t="shared" si="15"/>
        <v>7.9799999999999996E-2</v>
      </c>
      <c r="F155" s="1">
        <v>798000</v>
      </c>
      <c r="G155" s="1">
        <f t="shared" si="20"/>
        <v>15960</v>
      </c>
      <c r="H155" s="1" t="s">
        <v>339</v>
      </c>
      <c r="I155" s="1" t="s">
        <v>19</v>
      </c>
      <c r="J155" s="152" t="s">
        <v>441</v>
      </c>
      <c r="K155" s="1" t="s">
        <v>440</v>
      </c>
    </row>
    <row r="156" spans="1:11" ht="54.95" customHeight="1" x14ac:dyDescent="0.25">
      <c r="A156" s="257">
        <v>155</v>
      </c>
      <c r="B156" s="1" t="s">
        <v>101</v>
      </c>
      <c r="C156" s="1" t="s">
        <v>29</v>
      </c>
      <c r="D156" s="1" t="s">
        <v>444</v>
      </c>
      <c r="E156" s="1">
        <f t="shared" si="15"/>
        <v>0.35949999999999999</v>
      </c>
      <c r="F156" s="1">
        <f t="shared" ref="F156:F157" si="21">G156*50</f>
        <v>3595000</v>
      </c>
      <c r="G156" s="1">
        <v>71900</v>
      </c>
      <c r="H156" s="1" t="s">
        <v>339</v>
      </c>
      <c r="I156" s="1" t="s">
        <v>25</v>
      </c>
      <c r="J156" s="153" t="s">
        <v>443</v>
      </c>
      <c r="K156" s="1" t="s">
        <v>431</v>
      </c>
    </row>
    <row r="157" spans="1:11" ht="54.95" customHeight="1" x14ac:dyDescent="0.25">
      <c r="A157" s="257">
        <v>156</v>
      </c>
      <c r="B157" s="1" t="s">
        <v>101</v>
      </c>
      <c r="C157" s="1" t="s">
        <v>29</v>
      </c>
      <c r="D157" s="1" t="s">
        <v>424</v>
      </c>
      <c r="E157" s="1">
        <f t="shared" si="15"/>
        <v>0.254</v>
      </c>
      <c r="F157" s="1">
        <f t="shared" si="21"/>
        <v>2540000</v>
      </c>
      <c r="G157" s="1">
        <v>50800</v>
      </c>
      <c r="H157" s="1" t="s">
        <v>339</v>
      </c>
      <c r="I157" s="1" t="s">
        <v>25</v>
      </c>
      <c r="J157" s="154" t="s">
        <v>445</v>
      </c>
      <c r="K157" s="1" t="s">
        <v>422</v>
      </c>
    </row>
    <row r="158" spans="1:11" ht="54.95" customHeight="1" x14ac:dyDescent="0.25">
      <c r="A158" s="257">
        <v>157</v>
      </c>
      <c r="B158" s="1" t="s">
        <v>54</v>
      </c>
      <c r="C158" s="1" t="s">
        <v>153</v>
      </c>
      <c r="D158" s="1" t="s">
        <v>449</v>
      </c>
      <c r="E158" s="1">
        <f t="shared" si="15"/>
        <v>0</v>
      </c>
      <c r="F158" s="1">
        <v>0</v>
      </c>
      <c r="G158" s="1">
        <v>0</v>
      </c>
      <c r="H158" s="1" t="s">
        <v>339</v>
      </c>
      <c r="I158" s="1" t="s">
        <v>448</v>
      </c>
      <c r="J158" s="155" t="s">
        <v>447</v>
      </c>
      <c r="K158" s="1" t="s">
        <v>446</v>
      </c>
    </row>
    <row r="159" spans="1:11" ht="54.95" customHeight="1" x14ac:dyDescent="0.25">
      <c r="A159" s="257">
        <v>158</v>
      </c>
      <c r="B159" s="1" t="s">
        <v>21</v>
      </c>
      <c r="C159" s="1" t="s">
        <v>18</v>
      </c>
      <c r="D159" s="1" t="s">
        <v>452</v>
      </c>
      <c r="E159" s="1">
        <f t="shared" si="15"/>
        <v>0.115</v>
      </c>
      <c r="F159" s="1">
        <f t="shared" ref="F159:F160" si="22">G159*50</f>
        <v>1150000</v>
      </c>
      <c r="G159" s="1">
        <v>23000</v>
      </c>
      <c r="H159" s="1" t="s">
        <v>339</v>
      </c>
      <c r="I159" s="1" t="s">
        <v>89</v>
      </c>
      <c r="J159" s="156" t="s">
        <v>451</v>
      </c>
      <c r="K159" s="1" t="s">
        <v>450</v>
      </c>
    </row>
    <row r="160" spans="1:11" ht="54.95" customHeight="1" x14ac:dyDescent="0.25">
      <c r="A160" s="257">
        <v>159</v>
      </c>
      <c r="B160" s="1" t="s">
        <v>101</v>
      </c>
      <c r="C160" s="1" t="s">
        <v>29</v>
      </c>
      <c r="D160" s="1" t="s">
        <v>424</v>
      </c>
      <c r="E160" s="1">
        <f t="shared" si="15"/>
        <v>0.21149999999999999</v>
      </c>
      <c r="F160" s="1">
        <f t="shared" si="22"/>
        <v>2115000</v>
      </c>
      <c r="G160" s="1">
        <v>42300</v>
      </c>
      <c r="H160" s="1" t="s">
        <v>339</v>
      </c>
      <c r="I160" s="1" t="s">
        <v>25</v>
      </c>
      <c r="J160" s="157" t="s">
        <v>453</v>
      </c>
      <c r="K160" s="1" t="s">
        <v>422</v>
      </c>
    </row>
    <row r="161" spans="1:11" ht="60" x14ac:dyDescent="0.25">
      <c r="A161" s="257">
        <v>160</v>
      </c>
      <c r="B161" s="1" t="s">
        <v>54</v>
      </c>
      <c r="C161" s="1" t="s">
        <v>63</v>
      </c>
      <c r="D161" s="1" t="s">
        <v>758</v>
      </c>
      <c r="E161" s="1">
        <f t="shared" si="15"/>
        <v>9.7087699999999999E-2</v>
      </c>
      <c r="F161" s="1">
        <v>970877</v>
      </c>
      <c r="G161" s="1">
        <f>F161*2%</f>
        <v>19417.54</v>
      </c>
      <c r="H161" s="1" t="s">
        <v>307</v>
      </c>
      <c r="I161" s="1" t="s">
        <v>13</v>
      </c>
      <c r="J161" s="158" t="s">
        <v>455</v>
      </c>
      <c r="K161" s="1" t="s">
        <v>761</v>
      </c>
    </row>
    <row r="162" spans="1:11" ht="45" x14ac:dyDescent="0.25">
      <c r="A162" s="257">
        <v>161</v>
      </c>
      <c r="B162" s="1" t="s">
        <v>54</v>
      </c>
      <c r="C162" s="1" t="s">
        <v>63</v>
      </c>
      <c r="D162" s="1" t="s">
        <v>755</v>
      </c>
      <c r="E162" s="1">
        <f t="shared" si="15"/>
        <v>0.15326380000000001</v>
      </c>
      <c r="F162" s="1">
        <v>1532638</v>
      </c>
      <c r="G162" s="1">
        <f t="shared" ref="G162:G164" si="23">F162*2%</f>
        <v>30652.760000000002</v>
      </c>
      <c r="H162" s="1" t="s">
        <v>307</v>
      </c>
      <c r="I162" s="1" t="s">
        <v>13</v>
      </c>
      <c r="J162" s="158" t="s">
        <v>455</v>
      </c>
      <c r="K162" s="1" t="s">
        <v>759</v>
      </c>
    </row>
    <row r="163" spans="1:11" ht="45" x14ac:dyDescent="0.25">
      <c r="A163" s="257">
        <v>162</v>
      </c>
      <c r="B163" s="1" t="s">
        <v>54</v>
      </c>
      <c r="C163" s="1" t="s">
        <v>63</v>
      </c>
      <c r="D163" s="1" t="s">
        <v>756</v>
      </c>
      <c r="E163" s="1">
        <f t="shared" si="15"/>
        <v>0.20551440000000001</v>
      </c>
      <c r="F163" s="1">
        <v>2055144</v>
      </c>
      <c r="G163" s="1">
        <f t="shared" si="23"/>
        <v>41102.879999999997</v>
      </c>
      <c r="H163" s="1" t="s">
        <v>307</v>
      </c>
      <c r="I163" s="1" t="s">
        <v>13</v>
      </c>
      <c r="J163" s="158" t="s">
        <v>455</v>
      </c>
      <c r="K163" s="1" t="s">
        <v>760</v>
      </c>
    </row>
    <row r="164" spans="1:11" ht="45" x14ac:dyDescent="0.25">
      <c r="A164" s="257">
        <v>163</v>
      </c>
      <c r="B164" s="1" t="s">
        <v>54</v>
      </c>
      <c r="C164" s="1" t="s">
        <v>63</v>
      </c>
      <c r="D164" s="1" t="s">
        <v>757</v>
      </c>
      <c r="E164" s="1">
        <f t="shared" si="15"/>
        <v>0.16009889999999999</v>
      </c>
      <c r="F164" s="1">
        <v>1600989</v>
      </c>
      <c r="G164" s="1">
        <f t="shared" si="23"/>
        <v>32019.780000000002</v>
      </c>
      <c r="H164" s="1" t="s">
        <v>307</v>
      </c>
      <c r="I164" s="1" t="s">
        <v>13</v>
      </c>
      <c r="J164" s="158" t="s">
        <v>455</v>
      </c>
      <c r="K164" s="1" t="s">
        <v>762</v>
      </c>
    </row>
    <row r="165" spans="1:11" ht="54.95" customHeight="1" x14ac:dyDescent="0.25">
      <c r="A165" s="257">
        <v>164</v>
      </c>
      <c r="B165" s="1" t="s">
        <v>54</v>
      </c>
      <c r="C165" s="1" t="s">
        <v>153</v>
      </c>
      <c r="D165" s="1" t="s">
        <v>457</v>
      </c>
      <c r="E165" s="1">
        <f t="shared" si="15"/>
        <v>0</v>
      </c>
      <c r="F165" s="1">
        <v>0</v>
      </c>
      <c r="G165" s="1">
        <v>0</v>
      </c>
      <c r="H165" s="1" t="s">
        <v>339</v>
      </c>
      <c r="I165" s="1" t="s">
        <v>448</v>
      </c>
      <c r="J165" s="159" t="s">
        <v>456</v>
      </c>
      <c r="K165" s="1" t="s">
        <v>446</v>
      </c>
    </row>
    <row r="166" spans="1:11" ht="54.95" customHeight="1" x14ac:dyDescent="0.25">
      <c r="A166" s="257">
        <v>165</v>
      </c>
      <c r="B166" s="1" t="s">
        <v>101</v>
      </c>
      <c r="C166" s="1" t="s">
        <v>29</v>
      </c>
      <c r="D166" s="1" t="s">
        <v>459</v>
      </c>
      <c r="E166" s="1">
        <f t="shared" si="15"/>
        <v>0.21149999999999999</v>
      </c>
      <c r="F166" s="1">
        <f t="shared" ref="F166:F169" si="24">G166*50</f>
        <v>2115000</v>
      </c>
      <c r="G166" s="1">
        <v>42300</v>
      </c>
      <c r="H166" s="1" t="s">
        <v>339</v>
      </c>
      <c r="I166" s="1" t="s">
        <v>25</v>
      </c>
      <c r="J166" s="160" t="s">
        <v>458</v>
      </c>
      <c r="K166" s="1" t="s">
        <v>431</v>
      </c>
    </row>
    <row r="167" spans="1:11" ht="54.95" customHeight="1" x14ac:dyDescent="0.25">
      <c r="A167" s="257">
        <v>166</v>
      </c>
      <c r="B167" s="1" t="s">
        <v>101</v>
      </c>
      <c r="C167" s="1" t="s">
        <v>29</v>
      </c>
      <c r="D167" s="1" t="s">
        <v>461</v>
      </c>
      <c r="E167" s="1">
        <f t="shared" si="15"/>
        <v>0.254</v>
      </c>
      <c r="F167" s="1">
        <f t="shared" si="24"/>
        <v>2540000</v>
      </c>
      <c r="G167" s="1">
        <v>50800</v>
      </c>
      <c r="H167" s="1" t="s">
        <v>339</v>
      </c>
      <c r="I167" s="1" t="s">
        <v>25</v>
      </c>
      <c r="J167" s="161" t="s">
        <v>460</v>
      </c>
      <c r="K167" s="1" t="s">
        <v>431</v>
      </c>
    </row>
    <row r="168" spans="1:11" ht="54.95" customHeight="1" x14ac:dyDescent="0.25">
      <c r="A168" s="257">
        <v>167</v>
      </c>
      <c r="B168" s="1" t="s">
        <v>21</v>
      </c>
      <c r="C168" s="1" t="s">
        <v>18</v>
      </c>
      <c r="D168" s="1" t="s">
        <v>464</v>
      </c>
      <c r="E168" s="1">
        <f t="shared" si="15"/>
        <v>0.21</v>
      </c>
      <c r="F168" s="1">
        <f t="shared" si="24"/>
        <v>2100000</v>
      </c>
      <c r="G168" s="1">
        <v>42000</v>
      </c>
      <c r="H168" s="1" t="s">
        <v>339</v>
      </c>
      <c r="I168" s="1" t="s">
        <v>89</v>
      </c>
      <c r="J168" s="162" t="s">
        <v>463</v>
      </c>
      <c r="K168" s="1" t="s">
        <v>462</v>
      </c>
    </row>
    <row r="169" spans="1:11" ht="54.95" customHeight="1" x14ac:dyDescent="0.25">
      <c r="A169" s="257">
        <v>168</v>
      </c>
      <c r="B169" s="1" t="s">
        <v>183</v>
      </c>
      <c r="C169" s="1" t="s">
        <v>29</v>
      </c>
      <c r="D169" s="1" t="s">
        <v>467</v>
      </c>
      <c r="E169" s="1">
        <f t="shared" si="15"/>
        <v>0.09</v>
      </c>
      <c r="F169" s="1">
        <f t="shared" si="24"/>
        <v>900000</v>
      </c>
      <c r="G169" s="1">
        <v>18000</v>
      </c>
      <c r="H169" s="1" t="s">
        <v>339</v>
      </c>
      <c r="I169" s="1" t="s">
        <v>94</v>
      </c>
      <c r="J169" s="163" t="s">
        <v>466</v>
      </c>
      <c r="K169" s="1" t="s">
        <v>465</v>
      </c>
    </row>
    <row r="170" spans="1:11" ht="54.95" customHeight="1" x14ac:dyDescent="0.25">
      <c r="A170" s="257">
        <v>169</v>
      </c>
      <c r="B170" s="1" t="s">
        <v>54</v>
      </c>
      <c r="C170" s="1" t="s">
        <v>63</v>
      </c>
      <c r="D170" s="1" t="s">
        <v>470</v>
      </c>
      <c r="E170" s="1">
        <f t="shared" si="15"/>
        <v>0.1845</v>
      </c>
      <c r="F170" s="1">
        <v>1845000</v>
      </c>
      <c r="G170" s="1">
        <f>F170*2%</f>
        <v>36900</v>
      </c>
      <c r="H170" s="1" t="s">
        <v>339</v>
      </c>
      <c r="I170" s="1" t="s">
        <v>13</v>
      </c>
      <c r="J170" s="164" t="s">
        <v>469</v>
      </c>
      <c r="K170" s="1" t="s">
        <v>468</v>
      </c>
    </row>
    <row r="171" spans="1:11" ht="54.95" customHeight="1" x14ac:dyDescent="0.25">
      <c r="A171" s="257">
        <v>170</v>
      </c>
      <c r="B171" s="1" t="s">
        <v>54</v>
      </c>
      <c r="C171" s="1" t="s">
        <v>18</v>
      </c>
      <c r="D171" s="1" t="s">
        <v>473</v>
      </c>
      <c r="E171" s="1">
        <f t="shared" si="15"/>
        <v>0</v>
      </c>
      <c r="F171" s="1">
        <v>0</v>
      </c>
      <c r="G171" s="1">
        <v>0</v>
      </c>
      <c r="H171" s="1" t="s">
        <v>339</v>
      </c>
      <c r="I171" s="1" t="s">
        <v>448</v>
      </c>
      <c r="J171" s="165" t="s">
        <v>472</v>
      </c>
      <c r="K171" s="1" t="s">
        <v>471</v>
      </c>
    </row>
    <row r="172" spans="1:11" ht="54.95" customHeight="1" x14ac:dyDescent="0.25">
      <c r="A172" s="257">
        <v>171</v>
      </c>
      <c r="B172" s="1" t="s">
        <v>101</v>
      </c>
      <c r="C172" s="1" t="s">
        <v>29</v>
      </c>
      <c r="D172" s="1" t="s">
        <v>475</v>
      </c>
      <c r="E172" s="1">
        <f t="shared" si="15"/>
        <v>0.21149999999999999</v>
      </c>
      <c r="F172" s="1">
        <f t="shared" ref="F172:F177" si="25">G172*50</f>
        <v>2115000</v>
      </c>
      <c r="G172" s="1">
        <v>42300</v>
      </c>
      <c r="H172" s="1" t="s">
        <v>339</v>
      </c>
      <c r="I172" s="1" t="s">
        <v>25</v>
      </c>
      <c r="J172" s="166" t="s">
        <v>474</v>
      </c>
      <c r="K172" s="1" t="s">
        <v>431</v>
      </c>
    </row>
    <row r="173" spans="1:11" ht="54.95" customHeight="1" x14ac:dyDescent="0.25">
      <c r="A173" s="257">
        <v>172</v>
      </c>
      <c r="B173" s="1" t="s">
        <v>101</v>
      </c>
      <c r="C173" s="1" t="s">
        <v>29</v>
      </c>
      <c r="D173" s="1" t="s">
        <v>424</v>
      </c>
      <c r="E173" s="1">
        <f t="shared" si="15"/>
        <v>0.44400000000000001</v>
      </c>
      <c r="F173" s="1">
        <f t="shared" si="25"/>
        <v>4440000</v>
      </c>
      <c r="G173" s="1">
        <v>88800</v>
      </c>
      <c r="H173" s="1" t="s">
        <v>339</v>
      </c>
      <c r="I173" s="1" t="s">
        <v>25</v>
      </c>
      <c r="J173" s="167" t="s">
        <v>476</v>
      </c>
      <c r="K173" s="1" t="s">
        <v>422</v>
      </c>
    </row>
    <row r="174" spans="1:11" ht="54.95" customHeight="1" x14ac:dyDescent="0.25">
      <c r="A174" s="257">
        <v>173</v>
      </c>
      <c r="B174" s="1" t="s">
        <v>21</v>
      </c>
      <c r="C174" s="1" t="s">
        <v>18</v>
      </c>
      <c r="D174" s="1" t="s">
        <v>452</v>
      </c>
      <c r="E174" s="1">
        <f t="shared" si="15"/>
        <v>0.115</v>
      </c>
      <c r="F174" s="1">
        <f t="shared" si="25"/>
        <v>1150000</v>
      </c>
      <c r="G174" s="1">
        <v>23000</v>
      </c>
      <c r="H174" s="1" t="s">
        <v>339</v>
      </c>
      <c r="I174" s="1" t="s">
        <v>89</v>
      </c>
      <c r="J174" s="168" t="s">
        <v>477</v>
      </c>
      <c r="K174" s="1" t="s">
        <v>450</v>
      </c>
    </row>
    <row r="175" spans="1:11" ht="54.95" customHeight="1" x14ac:dyDescent="0.25">
      <c r="A175" s="257">
        <v>174</v>
      </c>
      <c r="B175" s="1" t="s">
        <v>101</v>
      </c>
      <c r="C175" s="1" t="s">
        <v>29</v>
      </c>
      <c r="D175" s="1" t="s">
        <v>479</v>
      </c>
      <c r="E175" s="1">
        <f t="shared" si="15"/>
        <v>0.254</v>
      </c>
      <c r="F175" s="1">
        <f t="shared" si="25"/>
        <v>2540000</v>
      </c>
      <c r="G175" s="1">
        <v>50800</v>
      </c>
      <c r="H175" s="1" t="s">
        <v>339</v>
      </c>
      <c r="I175" s="1" t="s">
        <v>25</v>
      </c>
      <c r="J175" s="169" t="s">
        <v>478</v>
      </c>
      <c r="K175" s="1" t="s">
        <v>431</v>
      </c>
    </row>
    <row r="176" spans="1:11" ht="54.95" customHeight="1" x14ac:dyDescent="0.25">
      <c r="A176" s="257">
        <v>175</v>
      </c>
      <c r="B176" s="1" t="s">
        <v>101</v>
      </c>
      <c r="C176" s="1" t="s">
        <v>29</v>
      </c>
      <c r="D176" s="1" t="s">
        <v>424</v>
      </c>
      <c r="E176" s="1">
        <f t="shared" si="15"/>
        <v>0.21149999999999999</v>
      </c>
      <c r="F176" s="1">
        <f t="shared" si="25"/>
        <v>2115000</v>
      </c>
      <c r="G176" s="1">
        <v>42300</v>
      </c>
      <c r="H176" s="1" t="s">
        <v>339</v>
      </c>
      <c r="I176" s="1" t="s">
        <v>25</v>
      </c>
      <c r="J176" s="170" t="s">
        <v>480</v>
      </c>
      <c r="K176" s="1" t="s">
        <v>422</v>
      </c>
    </row>
    <row r="177" spans="1:11" ht="54.95" customHeight="1" x14ac:dyDescent="0.25">
      <c r="A177" s="257">
        <v>176</v>
      </c>
      <c r="B177" s="1" t="s">
        <v>21</v>
      </c>
      <c r="C177" s="1" t="s">
        <v>18</v>
      </c>
      <c r="D177" s="1" t="s">
        <v>464</v>
      </c>
      <c r="E177" s="1">
        <f t="shared" si="15"/>
        <v>0.21</v>
      </c>
      <c r="F177" s="1">
        <f t="shared" si="25"/>
        <v>2100000</v>
      </c>
      <c r="G177" s="1">
        <v>42000</v>
      </c>
      <c r="H177" s="1" t="s">
        <v>339</v>
      </c>
      <c r="I177" s="1" t="s">
        <v>89</v>
      </c>
      <c r="J177" s="171" t="s">
        <v>481</v>
      </c>
      <c r="K177" s="1" t="s">
        <v>462</v>
      </c>
    </row>
    <row r="178" spans="1:11" ht="54.95" customHeight="1" x14ac:dyDescent="0.25">
      <c r="A178" s="257">
        <v>177</v>
      </c>
      <c r="B178" s="1" t="s">
        <v>54</v>
      </c>
      <c r="C178" s="1" t="s">
        <v>63</v>
      </c>
      <c r="D178" s="1" t="s">
        <v>484</v>
      </c>
      <c r="E178" s="1">
        <f t="shared" si="15"/>
        <v>0.20100000000000001</v>
      </c>
      <c r="F178" s="1">
        <v>2010000.0000000002</v>
      </c>
      <c r="G178" s="1">
        <f>F178*2%</f>
        <v>40200.000000000007</v>
      </c>
      <c r="H178" s="1" t="s">
        <v>339</v>
      </c>
      <c r="I178" s="1" t="s">
        <v>13</v>
      </c>
      <c r="J178" s="172" t="s">
        <v>483</v>
      </c>
      <c r="K178" s="1" t="s">
        <v>482</v>
      </c>
    </row>
    <row r="179" spans="1:11" ht="54.95" customHeight="1" x14ac:dyDescent="0.25">
      <c r="A179" s="257">
        <v>178</v>
      </c>
      <c r="B179" s="1" t="s">
        <v>101</v>
      </c>
      <c r="C179" s="1" t="s">
        <v>29</v>
      </c>
      <c r="D179" s="1" t="s">
        <v>486</v>
      </c>
      <c r="E179" s="1">
        <f t="shared" si="15"/>
        <v>0.254</v>
      </c>
      <c r="F179" s="1">
        <f t="shared" ref="F179:F181" si="26">G179*50</f>
        <v>2540000</v>
      </c>
      <c r="G179" s="1">
        <v>50800</v>
      </c>
      <c r="H179" s="1" t="s">
        <v>339</v>
      </c>
      <c r="I179" s="1" t="s">
        <v>25</v>
      </c>
      <c r="J179" s="173" t="s">
        <v>485</v>
      </c>
      <c r="K179" s="1" t="s">
        <v>431</v>
      </c>
    </row>
    <row r="180" spans="1:11" ht="54.95" customHeight="1" x14ac:dyDescent="0.25">
      <c r="A180" s="257">
        <v>179</v>
      </c>
      <c r="B180" s="1" t="s">
        <v>101</v>
      </c>
      <c r="C180" s="1" t="s">
        <v>29</v>
      </c>
      <c r="D180" s="1" t="s">
        <v>488</v>
      </c>
      <c r="E180" s="1">
        <f t="shared" si="15"/>
        <v>0.29599999999999999</v>
      </c>
      <c r="F180" s="1">
        <f t="shared" si="26"/>
        <v>2960000</v>
      </c>
      <c r="G180" s="1">
        <v>59200</v>
      </c>
      <c r="H180" s="1" t="s">
        <v>339</v>
      </c>
      <c r="I180" s="1" t="s">
        <v>25</v>
      </c>
      <c r="J180" s="174" t="s">
        <v>487</v>
      </c>
      <c r="K180" s="1" t="s">
        <v>431</v>
      </c>
    </row>
    <row r="181" spans="1:11" ht="54.95" customHeight="1" x14ac:dyDescent="0.25">
      <c r="A181" s="257">
        <v>180</v>
      </c>
      <c r="B181" s="1" t="s">
        <v>54</v>
      </c>
      <c r="C181" s="1" t="s">
        <v>490</v>
      </c>
      <c r="D181" s="1" t="s">
        <v>491</v>
      </c>
      <c r="E181" s="1">
        <f t="shared" si="15"/>
        <v>0.05</v>
      </c>
      <c r="F181" s="1">
        <f t="shared" si="26"/>
        <v>500000</v>
      </c>
      <c r="G181" s="1">
        <v>10000</v>
      </c>
      <c r="H181" s="1" t="s">
        <v>110</v>
      </c>
      <c r="I181" s="1" t="s">
        <v>181</v>
      </c>
      <c r="J181" s="175" t="s">
        <v>489</v>
      </c>
      <c r="K181" s="1" t="s">
        <v>489</v>
      </c>
    </row>
    <row r="182" spans="1:11" ht="54.95" customHeight="1" x14ac:dyDescent="0.25">
      <c r="A182" s="257">
        <v>181</v>
      </c>
      <c r="B182" s="1" t="s">
        <v>54</v>
      </c>
      <c r="C182" s="1" t="s">
        <v>18</v>
      </c>
      <c r="D182" s="1" t="s">
        <v>494</v>
      </c>
      <c r="E182" s="1">
        <f t="shared" si="15"/>
        <v>1.05</v>
      </c>
      <c r="F182" s="1">
        <v>10500000</v>
      </c>
      <c r="G182" s="1">
        <v>211000</v>
      </c>
      <c r="H182" s="1" t="s">
        <v>110</v>
      </c>
      <c r="I182" s="1" t="s">
        <v>94</v>
      </c>
      <c r="J182" s="176" t="s">
        <v>493</v>
      </c>
      <c r="K182" s="1" t="s">
        <v>492</v>
      </c>
    </row>
    <row r="183" spans="1:11" ht="54.95" customHeight="1" x14ac:dyDescent="0.25">
      <c r="A183" s="257">
        <v>182</v>
      </c>
      <c r="B183" s="1" t="s">
        <v>15</v>
      </c>
      <c r="C183" s="1" t="s">
        <v>153</v>
      </c>
      <c r="D183" s="1" t="s">
        <v>498</v>
      </c>
      <c r="E183" s="1">
        <f t="shared" si="15"/>
        <v>0.42</v>
      </c>
      <c r="F183" s="1">
        <f>G183*50</f>
        <v>4200000</v>
      </c>
      <c r="G183" s="1">
        <v>84000</v>
      </c>
      <c r="H183" s="1" t="s">
        <v>110</v>
      </c>
      <c r="I183" s="1" t="s">
        <v>497</v>
      </c>
      <c r="J183" s="177" t="s">
        <v>496</v>
      </c>
      <c r="K183" s="1" t="s">
        <v>495</v>
      </c>
    </row>
    <row r="184" spans="1:11" ht="54.95" customHeight="1" x14ac:dyDescent="0.25">
      <c r="A184" s="257">
        <v>183</v>
      </c>
      <c r="B184" s="1" t="s">
        <v>141</v>
      </c>
      <c r="C184" s="1" t="s">
        <v>18</v>
      </c>
      <c r="D184" s="1" t="s">
        <v>501</v>
      </c>
      <c r="E184" s="1">
        <f t="shared" si="15"/>
        <v>0.1489</v>
      </c>
      <c r="F184" s="1">
        <v>1489000</v>
      </c>
      <c r="G184" s="1">
        <v>44700</v>
      </c>
      <c r="H184" s="1" t="s">
        <v>110</v>
      </c>
      <c r="I184" s="1" t="s">
        <v>25</v>
      </c>
      <c r="J184" s="178" t="s">
        <v>500</v>
      </c>
      <c r="K184" s="1" t="s">
        <v>499</v>
      </c>
    </row>
    <row r="185" spans="1:11" ht="54.95" customHeight="1" x14ac:dyDescent="0.25">
      <c r="A185" s="257">
        <v>184</v>
      </c>
      <c r="B185" s="1" t="s">
        <v>125</v>
      </c>
      <c r="C185" s="1" t="s">
        <v>18</v>
      </c>
      <c r="D185" s="1" t="s">
        <v>504</v>
      </c>
      <c r="E185" s="1">
        <f t="shared" si="15"/>
        <v>0.05</v>
      </c>
      <c r="F185" s="1">
        <f t="shared" ref="F185:F186" si="27">G185*50</f>
        <v>500000</v>
      </c>
      <c r="G185" s="1">
        <v>10000</v>
      </c>
      <c r="H185" s="1" t="s">
        <v>110</v>
      </c>
      <c r="I185" s="1" t="s">
        <v>89</v>
      </c>
      <c r="J185" s="179" t="s">
        <v>503</v>
      </c>
      <c r="K185" s="1" t="s">
        <v>502</v>
      </c>
    </row>
    <row r="186" spans="1:11" ht="54.95" customHeight="1" x14ac:dyDescent="0.25">
      <c r="A186" s="257">
        <v>185</v>
      </c>
      <c r="B186" s="1" t="s">
        <v>125</v>
      </c>
      <c r="C186" s="1" t="s">
        <v>18</v>
      </c>
      <c r="D186" s="1" t="s">
        <v>507</v>
      </c>
      <c r="E186" s="1">
        <f t="shared" si="15"/>
        <v>3.2500000000000001E-2</v>
      </c>
      <c r="F186" s="1">
        <f t="shared" si="27"/>
        <v>325000</v>
      </c>
      <c r="G186" s="1">
        <v>6500</v>
      </c>
      <c r="H186" s="1" t="s">
        <v>110</v>
      </c>
      <c r="I186" s="1" t="s">
        <v>89</v>
      </c>
      <c r="J186" s="180" t="s">
        <v>506</v>
      </c>
      <c r="K186" s="1" t="s">
        <v>505</v>
      </c>
    </row>
    <row r="187" spans="1:11" ht="54.95" customHeight="1" x14ac:dyDescent="0.25">
      <c r="A187" s="257">
        <v>186</v>
      </c>
      <c r="B187" s="1" t="s">
        <v>141</v>
      </c>
      <c r="C187" s="1" t="s">
        <v>18</v>
      </c>
      <c r="D187" s="1" t="s">
        <v>510</v>
      </c>
      <c r="E187" s="1">
        <f t="shared" si="15"/>
        <v>0.42</v>
      </c>
      <c r="F187" s="1">
        <v>4200000</v>
      </c>
      <c r="G187" s="1">
        <v>84000</v>
      </c>
      <c r="H187" s="1" t="s">
        <v>110</v>
      </c>
      <c r="I187" s="1" t="s">
        <v>89</v>
      </c>
      <c r="J187" s="181" t="s">
        <v>509</v>
      </c>
      <c r="K187" s="1" t="s">
        <v>508</v>
      </c>
    </row>
    <row r="188" spans="1:11" ht="54.95" customHeight="1" x14ac:dyDescent="0.25">
      <c r="A188" s="257">
        <v>187</v>
      </c>
      <c r="B188" s="1" t="s">
        <v>15</v>
      </c>
      <c r="C188" s="1" t="s">
        <v>153</v>
      </c>
      <c r="D188" s="1" t="s">
        <v>513</v>
      </c>
      <c r="E188" s="1">
        <f t="shared" si="15"/>
        <v>0.41499999999999998</v>
      </c>
      <c r="F188" s="1">
        <f>G188*50</f>
        <v>4150000</v>
      </c>
      <c r="G188" s="1">
        <v>83000</v>
      </c>
      <c r="H188" s="1" t="s">
        <v>110</v>
      </c>
      <c r="I188" s="1" t="s">
        <v>497</v>
      </c>
      <c r="J188" s="182" t="s">
        <v>512</v>
      </c>
      <c r="K188" s="1" t="s">
        <v>511</v>
      </c>
    </row>
    <row r="189" spans="1:11" ht="54.95" customHeight="1" x14ac:dyDescent="0.25">
      <c r="A189" s="257">
        <v>188</v>
      </c>
      <c r="B189" s="1" t="s">
        <v>15</v>
      </c>
      <c r="C189" s="1" t="s">
        <v>18</v>
      </c>
      <c r="D189" s="1" t="s">
        <v>516</v>
      </c>
      <c r="E189" s="1">
        <f t="shared" si="15"/>
        <v>0.14940000000000001</v>
      </c>
      <c r="F189" s="1">
        <v>1494000</v>
      </c>
      <c r="G189" s="1">
        <v>60000</v>
      </c>
      <c r="H189" s="1" t="s">
        <v>110</v>
      </c>
      <c r="I189" s="1" t="s">
        <v>267</v>
      </c>
      <c r="J189" s="183" t="s">
        <v>515</v>
      </c>
      <c r="K189" s="1" t="s">
        <v>514</v>
      </c>
    </row>
    <row r="190" spans="1:11" ht="54.95" customHeight="1" x14ac:dyDescent="0.25">
      <c r="A190" s="257">
        <v>189</v>
      </c>
      <c r="B190" s="1" t="s">
        <v>15</v>
      </c>
      <c r="C190" s="1" t="s">
        <v>153</v>
      </c>
      <c r="D190" s="1" t="s">
        <v>519</v>
      </c>
      <c r="E190" s="1">
        <f t="shared" si="15"/>
        <v>0.46500000000000002</v>
      </c>
      <c r="F190" s="1">
        <f t="shared" ref="F190:F191" si="28">G190*50</f>
        <v>4650000</v>
      </c>
      <c r="G190" s="1">
        <v>93000</v>
      </c>
      <c r="H190" s="1" t="s">
        <v>110</v>
      </c>
      <c r="I190" s="1" t="s">
        <v>497</v>
      </c>
      <c r="J190" s="184" t="s">
        <v>518</v>
      </c>
      <c r="K190" s="1" t="s">
        <v>517</v>
      </c>
    </row>
    <row r="191" spans="1:11" ht="54.95" customHeight="1" x14ac:dyDescent="0.25">
      <c r="A191" s="257">
        <v>190</v>
      </c>
      <c r="B191" s="1" t="s">
        <v>125</v>
      </c>
      <c r="C191" s="1" t="s">
        <v>18</v>
      </c>
      <c r="D191" s="1" t="s">
        <v>522</v>
      </c>
      <c r="E191" s="1">
        <f t="shared" si="15"/>
        <v>0.01</v>
      </c>
      <c r="F191" s="1">
        <f t="shared" si="28"/>
        <v>100000</v>
      </c>
      <c r="G191" s="1">
        <v>2000</v>
      </c>
      <c r="H191" s="1" t="s">
        <v>110</v>
      </c>
      <c r="I191" s="1" t="s">
        <v>89</v>
      </c>
      <c r="J191" s="185" t="s">
        <v>521</v>
      </c>
      <c r="K191" s="1" t="s">
        <v>520</v>
      </c>
    </row>
    <row r="192" spans="1:11" ht="54.95" customHeight="1" x14ac:dyDescent="0.25">
      <c r="A192" s="257">
        <v>191</v>
      </c>
      <c r="B192" s="1" t="s">
        <v>141</v>
      </c>
      <c r="C192" s="1" t="s">
        <v>18</v>
      </c>
      <c r="D192" s="1" t="s">
        <v>525</v>
      </c>
      <c r="E192" s="1">
        <f t="shared" si="15"/>
        <v>0.375</v>
      </c>
      <c r="F192" s="1">
        <v>3750000</v>
      </c>
      <c r="G192" s="1">
        <v>75000</v>
      </c>
      <c r="H192" s="1" t="s">
        <v>110</v>
      </c>
      <c r="I192" s="1" t="s">
        <v>89</v>
      </c>
      <c r="J192" s="186" t="s">
        <v>524</v>
      </c>
      <c r="K192" s="1" t="s">
        <v>523</v>
      </c>
    </row>
    <row r="193" spans="1:11" ht="54.95" customHeight="1" x14ac:dyDescent="0.25">
      <c r="A193" s="257">
        <v>192</v>
      </c>
      <c r="B193" s="1" t="s">
        <v>15</v>
      </c>
      <c r="C193" s="1" t="s">
        <v>153</v>
      </c>
      <c r="D193" s="1" t="s">
        <v>528</v>
      </c>
      <c r="E193" s="1">
        <f t="shared" si="15"/>
        <v>0.76</v>
      </c>
      <c r="F193" s="1">
        <f t="shared" ref="F193:F194" si="29">G193*50</f>
        <v>7600000</v>
      </c>
      <c r="G193" s="1">
        <v>152000</v>
      </c>
      <c r="H193" s="1" t="s">
        <v>110</v>
      </c>
      <c r="I193" s="1" t="s">
        <v>497</v>
      </c>
      <c r="J193" s="187" t="s">
        <v>527</v>
      </c>
      <c r="K193" s="1" t="s">
        <v>526</v>
      </c>
    </row>
    <row r="194" spans="1:11" ht="54.95" customHeight="1" x14ac:dyDescent="0.25">
      <c r="A194" s="257">
        <v>193</v>
      </c>
      <c r="B194" s="1" t="s">
        <v>15</v>
      </c>
      <c r="C194" s="1" t="s">
        <v>153</v>
      </c>
      <c r="D194" s="1" t="s">
        <v>531</v>
      </c>
      <c r="E194" s="1">
        <f t="shared" si="15"/>
        <v>0.28999999999999998</v>
      </c>
      <c r="F194" s="1">
        <f t="shared" si="29"/>
        <v>2900000</v>
      </c>
      <c r="G194" s="1">
        <v>58000</v>
      </c>
      <c r="H194" s="1" t="s">
        <v>110</v>
      </c>
      <c r="I194" s="1" t="s">
        <v>497</v>
      </c>
      <c r="J194" s="188" t="s">
        <v>530</v>
      </c>
      <c r="K194" s="1" t="s">
        <v>529</v>
      </c>
    </row>
    <row r="195" spans="1:11" ht="54.95" customHeight="1" x14ac:dyDescent="0.25">
      <c r="A195" s="257">
        <v>194</v>
      </c>
      <c r="B195" s="1" t="s">
        <v>141</v>
      </c>
      <c r="C195" s="1" t="s">
        <v>18</v>
      </c>
      <c r="D195" s="1" t="s">
        <v>534</v>
      </c>
      <c r="E195" s="1">
        <f t="shared" si="15"/>
        <v>0.375</v>
      </c>
      <c r="F195" s="1">
        <v>3750000</v>
      </c>
      <c r="G195" s="1">
        <v>75000</v>
      </c>
      <c r="H195" s="1" t="s">
        <v>110</v>
      </c>
      <c r="I195" s="1" t="s">
        <v>89</v>
      </c>
      <c r="J195" s="189" t="s">
        <v>533</v>
      </c>
      <c r="K195" s="1" t="s">
        <v>532</v>
      </c>
    </row>
    <row r="196" spans="1:11" ht="54.95" customHeight="1" x14ac:dyDescent="0.25">
      <c r="A196" s="257">
        <v>195</v>
      </c>
      <c r="B196" s="1" t="s">
        <v>141</v>
      </c>
      <c r="C196" s="1" t="s">
        <v>18</v>
      </c>
      <c r="D196" s="1" t="s">
        <v>537</v>
      </c>
      <c r="E196" s="1">
        <f t="shared" si="15"/>
        <v>0.14960000000000001</v>
      </c>
      <c r="F196" s="1">
        <v>1496000</v>
      </c>
      <c r="G196" s="1">
        <v>44900</v>
      </c>
      <c r="H196" s="1" t="s">
        <v>110</v>
      </c>
      <c r="I196" s="1" t="s">
        <v>25</v>
      </c>
      <c r="J196" s="190" t="s">
        <v>536</v>
      </c>
      <c r="K196" s="1" t="s">
        <v>535</v>
      </c>
    </row>
    <row r="197" spans="1:11" ht="54.95" customHeight="1" x14ac:dyDescent="0.25">
      <c r="A197" s="257">
        <v>196</v>
      </c>
      <c r="B197" s="1" t="s">
        <v>22</v>
      </c>
      <c r="C197" s="1" t="s">
        <v>18</v>
      </c>
      <c r="D197" s="1" t="s">
        <v>540</v>
      </c>
      <c r="E197" s="1">
        <f t="shared" si="15"/>
        <v>0.15</v>
      </c>
      <c r="F197" s="1">
        <v>1500000</v>
      </c>
      <c r="G197" s="1">
        <v>45000</v>
      </c>
      <c r="H197" s="1" t="s">
        <v>110</v>
      </c>
      <c r="I197" s="1" t="s">
        <v>89</v>
      </c>
      <c r="J197" s="191" t="s">
        <v>539</v>
      </c>
      <c r="K197" s="1" t="s">
        <v>538</v>
      </c>
    </row>
    <row r="198" spans="1:11" ht="54.95" customHeight="1" x14ac:dyDescent="0.25">
      <c r="A198" s="257">
        <v>197</v>
      </c>
      <c r="B198" s="1" t="s">
        <v>141</v>
      </c>
      <c r="C198" s="1" t="s">
        <v>18</v>
      </c>
      <c r="D198" s="1" t="s">
        <v>543</v>
      </c>
      <c r="E198" s="1">
        <f t="shared" ref="E198:E261" si="30">F198/10000000</f>
        <v>0.14879999999999999</v>
      </c>
      <c r="F198" s="1">
        <v>1488000</v>
      </c>
      <c r="G198" s="1">
        <v>44700</v>
      </c>
      <c r="H198" s="1" t="s">
        <v>110</v>
      </c>
      <c r="I198" s="1" t="s">
        <v>25</v>
      </c>
      <c r="J198" s="192" t="s">
        <v>542</v>
      </c>
      <c r="K198" s="1" t="s">
        <v>541</v>
      </c>
    </row>
    <row r="199" spans="1:11" ht="54.95" customHeight="1" x14ac:dyDescent="0.25">
      <c r="A199" s="257">
        <v>198</v>
      </c>
      <c r="B199" s="1" t="s">
        <v>54</v>
      </c>
      <c r="C199" s="1" t="s">
        <v>546</v>
      </c>
      <c r="D199" s="1" t="s">
        <v>547</v>
      </c>
      <c r="E199" s="1">
        <f t="shared" si="30"/>
        <v>1</v>
      </c>
      <c r="F199" s="1">
        <f t="shared" ref="F199:F200" si="31">G199*50</f>
        <v>10000000</v>
      </c>
      <c r="G199" s="1">
        <v>200000</v>
      </c>
      <c r="H199" s="1" t="s">
        <v>110</v>
      </c>
      <c r="I199" s="1" t="s">
        <v>308</v>
      </c>
      <c r="J199" s="193" t="s">
        <v>545</v>
      </c>
      <c r="K199" s="1" t="s">
        <v>544</v>
      </c>
    </row>
    <row r="200" spans="1:11" ht="54.95" customHeight="1" x14ac:dyDescent="0.25">
      <c r="A200" s="257">
        <v>199</v>
      </c>
      <c r="B200" s="1" t="s">
        <v>125</v>
      </c>
      <c r="C200" s="1" t="s">
        <v>18</v>
      </c>
      <c r="D200" s="1" t="s">
        <v>550</v>
      </c>
      <c r="E200" s="1">
        <f t="shared" si="30"/>
        <v>4.2500000000000003E-2</v>
      </c>
      <c r="F200" s="1">
        <f t="shared" si="31"/>
        <v>425000</v>
      </c>
      <c r="G200" s="1">
        <v>8500</v>
      </c>
      <c r="H200" s="1" t="s">
        <v>110</v>
      </c>
      <c r="I200" s="1" t="s">
        <v>89</v>
      </c>
      <c r="J200" s="194" t="s">
        <v>549</v>
      </c>
      <c r="K200" s="1" t="s">
        <v>548</v>
      </c>
    </row>
    <row r="201" spans="1:11" ht="54.95" customHeight="1" x14ac:dyDescent="0.25">
      <c r="A201" s="257">
        <v>200</v>
      </c>
      <c r="B201" s="1" t="s">
        <v>141</v>
      </c>
      <c r="C201" s="1" t="s">
        <v>18</v>
      </c>
      <c r="D201" s="1" t="s">
        <v>553</v>
      </c>
      <c r="E201" s="1">
        <f t="shared" si="30"/>
        <v>0.14530000000000001</v>
      </c>
      <c r="F201" s="1">
        <v>1453000</v>
      </c>
      <c r="G201" s="1">
        <v>43600</v>
      </c>
      <c r="H201" s="1" t="s">
        <v>110</v>
      </c>
      <c r="I201" s="1" t="s">
        <v>25</v>
      </c>
      <c r="J201" s="195" t="s">
        <v>552</v>
      </c>
      <c r="K201" s="1" t="s">
        <v>551</v>
      </c>
    </row>
    <row r="202" spans="1:11" ht="54.95" customHeight="1" x14ac:dyDescent="0.25">
      <c r="A202" s="257">
        <v>201</v>
      </c>
      <c r="B202" s="1" t="s">
        <v>15</v>
      </c>
      <c r="C202" s="1" t="s">
        <v>153</v>
      </c>
      <c r="D202" s="1" t="s">
        <v>556</v>
      </c>
      <c r="E202" s="1">
        <f t="shared" si="30"/>
        <v>0.34499999999999997</v>
      </c>
      <c r="F202" s="1">
        <f>G202*50</f>
        <v>3450000</v>
      </c>
      <c r="G202" s="1">
        <v>69000</v>
      </c>
      <c r="H202" s="1" t="s">
        <v>110</v>
      </c>
      <c r="I202" s="1" t="s">
        <v>497</v>
      </c>
      <c r="J202" s="196" t="s">
        <v>555</v>
      </c>
      <c r="K202" s="1" t="s">
        <v>554</v>
      </c>
    </row>
    <row r="203" spans="1:11" ht="54.95" customHeight="1" x14ac:dyDescent="0.25">
      <c r="A203" s="257">
        <v>202</v>
      </c>
      <c r="B203" s="1" t="s">
        <v>141</v>
      </c>
      <c r="C203" s="1" t="s">
        <v>18</v>
      </c>
      <c r="D203" s="1" t="s">
        <v>559</v>
      </c>
      <c r="E203" s="1">
        <f t="shared" si="30"/>
        <v>0.1487</v>
      </c>
      <c r="F203" s="1">
        <v>1487000</v>
      </c>
      <c r="G203" s="1">
        <v>44700</v>
      </c>
      <c r="H203" s="1" t="s">
        <v>110</v>
      </c>
      <c r="I203" s="1" t="s">
        <v>25</v>
      </c>
      <c r="J203" s="197" t="s">
        <v>558</v>
      </c>
      <c r="K203" s="1" t="s">
        <v>557</v>
      </c>
    </row>
    <row r="204" spans="1:11" ht="54.95" customHeight="1" x14ac:dyDescent="0.25">
      <c r="A204" s="257">
        <v>203</v>
      </c>
      <c r="B204" s="1" t="s">
        <v>125</v>
      </c>
      <c r="C204" s="1" t="s">
        <v>18</v>
      </c>
      <c r="D204" s="1" t="s">
        <v>562</v>
      </c>
      <c r="E204" s="1">
        <f t="shared" si="30"/>
        <v>0.04</v>
      </c>
      <c r="F204" s="1">
        <f t="shared" ref="F204:F205" si="32">G204*50</f>
        <v>400000</v>
      </c>
      <c r="G204" s="1">
        <v>8000</v>
      </c>
      <c r="H204" s="1" t="s">
        <v>110</v>
      </c>
      <c r="I204" s="1" t="s">
        <v>89</v>
      </c>
      <c r="J204" s="198" t="s">
        <v>561</v>
      </c>
      <c r="K204" s="1" t="s">
        <v>560</v>
      </c>
    </row>
    <row r="205" spans="1:11" ht="54.95" customHeight="1" x14ac:dyDescent="0.25">
      <c r="A205" s="257">
        <v>204</v>
      </c>
      <c r="B205" s="1" t="s">
        <v>15</v>
      </c>
      <c r="C205" s="1" t="s">
        <v>153</v>
      </c>
      <c r="D205" s="1" t="s">
        <v>565</v>
      </c>
      <c r="E205" s="1">
        <f t="shared" si="30"/>
        <v>0.88500000000000001</v>
      </c>
      <c r="F205" s="1">
        <f t="shared" si="32"/>
        <v>8850000</v>
      </c>
      <c r="G205" s="1">
        <v>177000</v>
      </c>
      <c r="H205" s="1" t="s">
        <v>110</v>
      </c>
      <c r="I205" s="1" t="s">
        <v>497</v>
      </c>
      <c r="J205" s="199" t="s">
        <v>564</v>
      </c>
      <c r="K205" s="1" t="s">
        <v>563</v>
      </c>
    </row>
    <row r="206" spans="1:11" ht="54.95" customHeight="1" x14ac:dyDescent="0.25">
      <c r="A206" s="257">
        <v>205</v>
      </c>
      <c r="B206" s="1" t="s">
        <v>141</v>
      </c>
      <c r="C206" s="1" t="s">
        <v>18</v>
      </c>
      <c r="D206" s="1" t="s">
        <v>568</v>
      </c>
      <c r="E206" s="1">
        <f t="shared" si="30"/>
        <v>0.14929999999999999</v>
      </c>
      <c r="F206" s="1">
        <v>1493000</v>
      </c>
      <c r="G206" s="1">
        <v>44800</v>
      </c>
      <c r="H206" s="1" t="s">
        <v>110</v>
      </c>
      <c r="I206" s="1" t="s">
        <v>25</v>
      </c>
      <c r="J206" s="200" t="s">
        <v>567</v>
      </c>
      <c r="K206" s="1" t="s">
        <v>566</v>
      </c>
    </row>
    <row r="207" spans="1:11" ht="54.95" customHeight="1" x14ac:dyDescent="0.25">
      <c r="A207" s="257">
        <v>206</v>
      </c>
      <c r="B207" s="1" t="s">
        <v>54</v>
      </c>
      <c r="C207" s="1" t="s">
        <v>63</v>
      </c>
      <c r="D207" s="1" t="s">
        <v>572</v>
      </c>
      <c r="E207" s="1">
        <f t="shared" si="30"/>
        <v>0.26500000000000001</v>
      </c>
      <c r="F207" s="1">
        <v>2650000</v>
      </c>
      <c r="G207" s="1">
        <v>80000</v>
      </c>
      <c r="H207" s="1" t="s">
        <v>110</v>
      </c>
      <c r="I207" s="1" t="s">
        <v>571</v>
      </c>
      <c r="J207" s="201" t="s">
        <v>570</v>
      </c>
      <c r="K207" s="1" t="s">
        <v>569</v>
      </c>
    </row>
    <row r="208" spans="1:11" ht="54.95" customHeight="1" x14ac:dyDescent="0.25">
      <c r="A208" s="257">
        <v>207</v>
      </c>
      <c r="B208" s="1" t="s">
        <v>141</v>
      </c>
      <c r="C208" s="1" t="s">
        <v>18</v>
      </c>
      <c r="D208" s="1" t="s">
        <v>575</v>
      </c>
      <c r="E208" s="1">
        <f t="shared" si="30"/>
        <v>0.1487</v>
      </c>
      <c r="F208" s="1">
        <v>1487000</v>
      </c>
      <c r="G208" s="1">
        <v>44700</v>
      </c>
      <c r="H208" s="1" t="s">
        <v>110</v>
      </c>
      <c r="I208" s="1" t="s">
        <v>25</v>
      </c>
      <c r="J208" s="202" t="s">
        <v>574</v>
      </c>
      <c r="K208" s="1" t="s">
        <v>573</v>
      </c>
    </row>
    <row r="209" spans="1:11" ht="54.95" customHeight="1" x14ac:dyDescent="0.25">
      <c r="A209" s="257">
        <v>208</v>
      </c>
      <c r="B209" s="1" t="s">
        <v>141</v>
      </c>
      <c r="C209" s="1" t="s">
        <v>18</v>
      </c>
      <c r="D209" s="1" t="s">
        <v>578</v>
      </c>
      <c r="E209" s="1">
        <f t="shared" si="30"/>
        <v>0.1487</v>
      </c>
      <c r="F209" s="1">
        <v>1487000</v>
      </c>
      <c r="G209" s="1">
        <v>44600</v>
      </c>
      <c r="H209" s="1" t="s">
        <v>110</v>
      </c>
      <c r="I209" s="1" t="s">
        <v>25</v>
      </c>
      <c r="J209" s="203" t="s">
        <v>577</v>
      </c>
      <c r="K209" s="1" t="s">
        <v>576</v>
      </c>
    </row>
    <row r="210" spans="1:11" ht="54.95" customHeight="1" x14ac:dyDescent="0.25">
      <c r="A210" s="257">
        <v>209</v>
      </c>
      <c r="B210" s="1" t="s">
        <v>15</v>
      </c>
      <c r="C210" s="1" t="s">
        <v>153</v>
      </c>
      <c r="D210" s="1" t="s">
        <v>581</v>
      </c>
      <c r="E210" s="1">
        <f t="shared" si="30"/>
        <v>0.29499999999999998</v>
      </c>
      <c r="F210" s="1">
        <f>G210*50</f>
        <v>2950000</v>
      </c>
      <c r="G210" s="1">
        <v>59000</v>
      </c>
      <c r="H210" s="1" t="s">
        <v>110</v>
      </c>
      <c r="I210" s="1" t="s">
        <v>497</v>
      </c>
      <c r="J210" s="204" t="s">
        <v>580</v>
      </c>
      <c r="K210" s="1" t="s">
        <v>579</v>
      </c>
    </row>
    <row r="211" spans="1:11" ht="54.95" customHeight="1" x14ac:dyDescent="0.25">
      <c r="A211" s="257">
        <v>210</v>
      </c>
      <c r="B211" s="1" t="s">
        <v>141</v>
      </c>
      <c r="C211" s="1" t="s">
        <v>18</v>
      </c>
      <c r="D211" s="1" t="s">
        <v>584</v>
      </c>
      <c r="E211" s="1">
        <f t="shared" si="30"/>
        <v>0.3</v>
      </c>
      <c r="F211" s="1">
        <v>3000000</v>
      </c>
      <c r="G211" s="1">
        <v>60000</v>
      </c>
      <c r="H211" s="1" t="s">
        <v>110</v>
      </c>
      <c r="I211" s="1" t="s">
        <v>89</v>
      </c>
      <c r="J211" s="205" t="s">
        <v>583</v>
      </c>
      <c r="K211" s="1" t="s">
        <v>582</v>
      </c>
    </row>
    <row r="212" spans="1:11" ht="54.95" customHeight="1" x14ac:dyDescent="0.25">
      <c r="A212" s="257">
        <v>211</v>
      </c>
      <c r="B212" s="1" t="s">
        <v>54</v>
      </c>
      <c r="C212" s="1" t="s">
        <v>587</v>
      </c>
      <c r="D212" s="1" t="s">
        <v>589</v>
      </c>
      <c r="E212" s="1">
        <f t="shared" si="30"/>
        <v>10.32</v>
      </c>
      <c r="F212" s="1">
        <v>103200000</v>
      </c>
      <c r="G212" s="1">
        <v>2450000</v>
      </c>
      <c r="H212" s="1" t="s">
        <v>165</v>
      </c>
      <c r="I212" s="1" t="s">
        <v>588</v>
      </c>
      <c r="J212" s="206" t="s">
        <v>586</v>
      </c>
      <c r="K212" s="1" t="s">
        <v>585</v>
      </c>
    </row>
    <row r="213" spans="1:11" ht="54.95" customHeight="1" x14ac:dyDescent="0.25">
      <c r="A213" s="257">
        <v>212</v>
      </c>
      <c r="B213" s="1" t="s">
        <v>141</v>
      </c>
      <c r="C213" s="1" t="s">
        <v>164</v>
      </c>
      <c r="D213" s="1" t="s">
        <v>592</v>
      </c>
      <c r="E213" s="1">
        <f t="shared" si="30"/>
        <v>4.63</v>
      </c>
      <c r="F213" s="1">
        <v>46300000</v>
      </c>
      <c r="G213" s="1">
        <v>925000</v>
      </c>
      <c r="H213" s="1" t="s">
        <v>165</v>
      </c>
      <c r="I213" s="1" t="s">
        <v>94</v>
      </c>
      <c r="J213" s="207" t="s">
        <v>591</v>
      </c>
      <c r="K213" s="1" t="s">
        <v>590</v>
      </c>
    </row>
    <row r="214" spans="1:11" ht="54.95" customHeight="1" x14ac:dyDescent="0.25">
      <c r="A214" s="257">
        <v>213</v>
      </c>
      <c r="B214" s="1" t="s">
        <v>403</v>
      </c>
      <c r="C214" s="1" t="s">
        <v>63</v>
      </c>
      <c r="D214" s="1" t="s">
        <v>595</v>
      </c>
      <c r="E214" s="1">
        <f t="shared" si="30"/>
        <v>0.21149999999999999</v>
      </c>
      <c r="F214" s="1">
        <v>2115000</v>
      </c>
      <c r="G214" s="1">
        <f>F214*2%</f>
        <v>42300</v>
      </c>
      <c r="H214" s="1" t="s">
        <v>307</v>
      </c>
      <c r="I214" s="1" t="s">
        <v>169</v>
      </c>
      <c r="J214" s="208" t="s">
        <v>594</v>
      </c>
      <c r="K214" s="1" t="s">
        <v>593</v>
      </c>
    </row>
    <row r="215" spans="1:11" ht="54.95" customHeight="1" x14ac:dyDescent="0.25">
      <c r="A215" s="257">
        <v>214</v>
      </c>
      <c r="B215" s="1" t="s">
        <v>15</v>
      </c>
      <c r="C215" s="1" t="s">
        <v>156</v>
      </c>
      <c r="D215" s="1" t="s">
        <v>598</v>
      </c>
      <c r="E215" s="1">
        <f t="shared" si="30"/>
        <v>1.37E-2</v>
      </c>
      <c r="F215" s="1">
        <v>137000</v>
      </c>
      <c r="G215" s="1">
        <v>4500</v>
      </c>
      <c r="H215" s="1" t="s">
        <v>307</v>
      </c>
      <c r="I215" s="1" t="s">
        <v>308</v>
      </c>
      <c r="J215" s="209" t="s">
        <v>597</v>
      </c>
      <c r="K215" s="1" t="s">
        <v>596</v>
      </c>
    </row>
    <row r="216" spans="1:11" ht="54.95" customHeight="1" x14ac:dyDescent="0.25">
      <c r="A216" s="257">
        <v>215</v>
      </c>
      <c r="B216" s="1" t="s">
        <v>403</v>
      </c>
      <c r="C216" s="1" t="s">
        <v>63</v>
      </c>
      <c r="D216" s="1" t="s">
        <v>601</v>
      </c>
      <c r="E216" s="1">
        <f t="shared" si="30"/>
        <v>0.21149999999999999</v>
      </c>
      <c r="F216" s="1">
        <v>2115000</v>
      </c>
      <c r="G216" s="1">
        <f>F216*2%</f>
        <v>42300</v>
      </c>
      <c r="H216" s="1" t="s">
        <v>307</v>
      </c>
      <c r="I216" s="1" t="s">
        <v>169</v>
      </c>
      <c r="J216" s="210" t="s">
        <v>600</v>
      </c>
      <c r="K216" s="1" t="s">
        <v>599</v>
      </c>
    </row>
    <row r="217" spans="1:11" ht="54.95" customHeight="1" x14ac:dyDescent="0.25">
      <c r="A217" s="257">
        <v>216</v>
      </c>
      <c r="B217" s="1" t="s">
        <v>54</v>
      </c>
      <c r="C217" s="1" t="s">
        <v>18</v>
      </c>
      <c r="D217" s="1" t="s">
        <v>604</v>
      </c>
      <c r="E217" s="1">
        <f t="shared" si="30"/>
        <v>0</v>
      </c>
      <c r="F217" s="1">
        <v>0</v>
      </c>
      <c r="G217" s="1">
        <v>0</v>
      </c>
      <c r="H217" s="1" t="s">
        <v>307</v>
      </c>
      <c r="I217" s="1" t="s">
        <v>308</v>
      </c>
      <c r="J217" s="211" t="s">
        <v>603</v>
      </c>
      <c r="K217" s="1" t="s">
        <v>602</v>
      </c>
    </row>
    <row r="218" spans="1:11" ht="54.95" customHeight="1" x14ac:dyDescent="0.25">
      <c r="A218" s="257">
        <v>217</v>
      </c>
      <c r="B218" s="1" t="s">
        <v>54</v>
      </c>
      <c r="C218" s="1" t="s">
        <v>63</v>
      </c>
      <c r="D218" s="1" t="s">
        <v>606</v>
      </c>
      <c r="E218" s="1">
        <f t="shared" si="30"/>
        <v>9.7100000000000006E-2</v>
      </c>
      <c r="F218" s="1">
        <v>971000.00000000012</v>
      </c>
      <c r="G218" s="1">
        <f>F218*2%</f>
        <v>19420.000000000004</v>
      </c>
      <c r="H218" s="1" t="s">
        <v>307</v>
      </c>
      <c r="I218" s="1" t="s">
        <v>13</v>
      </c>
      <c r="J218" s="212" t="s">
        <v>605</v>
      </c>
      <c r="K218" s="1" t="s">
        <v>454</v>
      </c>
    </row>
    <row r="219" spans="1:11" ht="54.95" customHeight="1" x14ac:dyDescent="0.25">
      <c r="A219" s="257">
        <v>218</v>
      </c>
      <c r="B219" s="1" t="s">
        <v>141</v>
      </c>
      <c r="C219" s="1" t="s">
        <v>57</v>
      </c>
      <c r="D219" s="1" t="s">
        <v>609</v>
      </c>
      <c r="E219" s="1">
        <f t="shared" si="30"/>
        <v>8.5</v>
      </c>
      <c r="F219" s="1">
        <f>G219*50</f>
        <v>85000000</v>
      </c>
      <c r="G219" s="1">
        <v>1700000</v>
      </c>
      <c r="H219" s="1" t="s">
        <v>165</v>
      </c>
      <c r="I219" s="1" t="s">
        <v>448</v>
      </c>
      <c r="J219" s="213" t="s">
        <v>608</v>
      </c>
      <c r="K219" s="1" t="s">
        <v>607</v>
      </c>
    </row>
    <row r="220" spans="1:11" ht="54.95" customHeight="1" x14ac:dyDescent="0.25">
      <c r="A220" s="257">
        <v>219</v>
      </c>
      <c r="B220" s="1" t="s">
        <v>21</v>
      </c>
      <c r="C220" s="1" t="s">
        <v>18</v>
      </c>
      <c r="D220" s="1" t="s">
        <v>612</v>
      </c>
      <c r="E220" s="1">
        <f t="shared" si="30"/>
        <v>1.77</v>
      </c>
      <c r="F220" s="1">
        <v>17700000</v>
      </c>
      <c r="G220" s="1">
        <v>354000</v>
      </c>
      <c r="H220" s="1" t="s">
        <v>165</v>
      </c>
      <c r="I220" s="1" t="s">
        <v>111</v>
      </c>
      <c r="J220" s="214" t="s">
        <v>611</v>
      </c>
      <c r="K220" s="1" t="s">
        <v>610</v>
      </c>
    </row>
    <row r="221" spans="1:11" ht="54.95" customHeight="1" x14ac:dyDescent="0.25">
      <c r="A221" s="257">
        <v>220</v>
      </c>
      <c r="B221" s="1" t="s">
        <v>21</v>
      </c>
      <c r="C221" s="1" t="s">
        <v>18</v>
      </c>
      <c r="D221" s="1" t="s">
        <v>615</v>
      </c>
      <c r="E221" s="1">
        <f t="shared" si="30"/>
        <v>1.4</v>
      </c>
      <c r="F221" s="1">
        <v>14000000</v>
      </c>
      <c r="G221" s="1">
        <v>279000</v>
      </c>
      <c r="H221" s="1" t="s">
        <v>165</v>
      </c>
      <c r="I221" s="1" t="s">
        <v>89</v>
      </c>
      <c r="J221" s="215" t="s">
        <v>614</v>
      </c>
      <c r="K221" s="1" t="s">
        <v>613</v>
      </c>
    </row>
    <row r="222" spans="1:11" ht="54.95" customHeight="1" x14ac:dyDescent="0.25">
      <c r="A222" s="257">
        <v>221</v>
      </c>
      <c r="B222" s="1" t="s">
        <v>21</v>
      </c>
      <c r="C222" s="1" t="s">
        <v>18</v>
      </c>
      <c r="D222" s="1" t="s">
        <v>618</v>
      </c>
      <c r="E222" s="1">
        <f t="shared" si="30"/>
        <v>1.8</v>
      </c>
      <c r="F222" s="1">
        <v>18000000</v>
      </c>
      <c r="G222" s="1">
        <v>360000</v>
      </c>
      <c r="H222" s="1" t="s">
        <v>165</v>
      </c>
      <c r="I222" s="1" t="s">
        <v>89</v>
      </c>
      <c r="J222" s="216" t="s">
        <v>617</v>
      </c>
      <c r="K222" s="1" t="s">
        <v>616</v>
      </c>
    </row>
    <row r="223" spans="1:11" ht="54.95" customHeight="1" x14ac:dyDescent="0.25">
      <c r="A223" s="257">
        <v>222</v>
      </c>
      <c r="B223" s="1" t="s">
        <v>125</v>
      </c>
      <c r="C223" s="1" t="s">
        <v>164</v>
      </c>
      <c r="D223" s="1" t="s">
        <v>621</v>
      </c>
      <c r="E223" s="1">
        <f t="shared" si="30"/>
        <v>0.69120000000000004</v>
      </c>
      <c r="F223" s="1">
        <v>6912000</v>
      </c>
      <c r="G223" s="1">
        <v>138000</v>
      </c>
      <c r="H223" s="1" t="s">
        <v>165</v>
      </c>
      <c r="I223" s="1" t="s">
        <v>89</v>
      </c>
      <c r="J223" s="217" t="s">
        <v>620</v>
      </c>
      <c r="K223" s="1" t="s">
        <v>619</v>
      </c>
    </row>
    <row r="224" spans="1:11" ht="54.95" customHeight="1" x14ac:dyDescent="0.25">
      <c r="A224" s="257">
        <v>223</v>
      </c>
      <c r="B224" s="1" t="s">
        <v>21</v>
      </c>
      <c r="C224" s="1" t="s">
        <v>18</v>
      </c>
      <c r="D224" s="1" t="s">
        <v>624</v>
      </c>
      <c r="E224" s="1">
        <f t="shared" si="30"/>
        <v>1.93</v>
      </c>
      <c r="F224" s="1">
        <v>19300000</v>
      </c>
      <c r="G224" s="1">
        <v>386000</v>
      </c>
      <c r="H224" s="1" t="s">
        <v>165</v>
      </c>
      <c r="I224" s="1" t="s">
        <v>89</v>
      </c>
      <c r="J224" s="218" t="s">
        <v>623</v>
      </c>
      <c r="K224" s="1" t="s">
        <v>622</v>
      </c>
    </row>
    <row r="225" spans="1:11" ht="54.95" customHeight="1" x14ac:dyDescent="0.25">
      <c r="A225" s="257">
        <v>224</v>
      </c>
      <c r="B225" s="1" t="s">
        <v>15</v>
      </c>
      <c r="C225" s="1" t="s">
        <v>627</v>
      </c>
      <c r="D225" s="1" t="s">
        <v>628</v>
      </c>
      <c r="E225" s="1">
        <f t="shared" si="30"/>
        <v>1</v>
      </c>
      <c r="F225" s="1">
        <v>10000000</v>
      </c>
      <c r="G225" s="1">
        <v>200000</v>
      </c>
      <c r="H225" s="1" t="s">
        <v>165</v>
      </c>
      <c r="I225" s="1" t="s">
        <v>111</v>
      </c>
      <c r="J225" s="219" t="s">
        <v>626</v>
      </c>
      <c r="K225" s="1" t="s">
        <v>625</v>
      </c>
    </row>
    <row r="226" spans="1:11" ht="54.95" customHeight="1" x14ac:dyDescent="0.25">
      <c r="A226" s="257">
        <v>225</v>
      </c>
      <c r="B226" s="1" t="s">
        <v>54</v>
      </c>
      <c r="C226" s="1" t="s">
        <v>144</v>
      </c>
      <c r="D226" s="1" t="s">
        <v>631</v>
      </c>
      <c r="E226" s="1">
        <f t="shared" si="30"/>
        <v>0.75</v>
      </c>
      <c r="F226" s="1">
        <v>7500000</v>
      </c>
      <c r="G226" s="1">
        <v>150000</v>
      </c>
      <c r="H226" s="1" t="s">
        <v>165</v>
      </c>
      <c r="I226" s="1" t="s">
        <v>145</v>
      </c>
      <c r="J226" s="220" t="s">
        <v>630</v>
      </c>
      <c r="K226" s="1" t="s">
        <v>629</v>
      </c>
    </row>
    <row r="227" spans="1:11" ht="54.95" customHeight="1" x14ac:dyDescent="0.25">
      <c r="A227" s="257">
        <v>226</v>
      </c>
      <c r="B227" s="1" t="s">
        <v>21</v>
      </c>
      <c r="C227" s="1" t="s">
        <v>18</v>
      </c>
      <c r="D227" s="1" t="s">
        <v>161</v>
      </c>
      <c r="E227" s="1">
        <f t="shared" si="30"/>
        <v>1.1299999999999999</v>
      </c>
      <c r="F227" s="1">
        <v>11299999.999999998</v>
      </c>
      <c r="G227" s="1">
        <v>227000</v>
      </c>
      <c r="H227" s="1" t="s">
        <v>165</v>
      </c>
      <c r="I227" s="1" t="s">
        <v>267</v>
      </c>
      <c r="J227" s="221" t="s">
        <v>633</v>
      </c>
      <c r="K227" s="1" t="s">
        <v>632</v>
      </c>
    </row>
    <row r="228" spans="1:11" ht="54.95" customHeight="1" x14ac:dyDescent="0.25">
      <c r="A228" s="257">
        <v>227</v>
      </c>
      <c r="B228" s="1" t="s">
        <v>21</v>
      </c>
      <c r="C228" s="1" t="s">
        <v>18</v>
      </c>
      <c r="D228" s="1" t="s">
        <v>612</v>
      </c>
      <c r="E228" s="1">
        <f t="shared" si="30"/>
        <v>1.78</v>
      </c>
      <c r="F228" s="1">
        <v>17800000</v>
      </c>
      <c r="G228" s="1">
        <v>357000</v>
      </c>
      <c r="H228" s="1" t="s">
        <v>165</v>
      </c>
      <c r="I228" s="1" t="s">
        <v>111</v>
      </c>
      <c r="J228" s="222" t="s">
        <v>635</v>
      </c>
      <c r="K228" s="1" t="s">
        <v>634</v>
      </c>
    </row>
    <row r="229" spans="1:11" ht="54.95" customHeight="1" x14ac:dyDescent="0.25">
      <c r="A229" s="257">
        <v>228</v>
      </c>
      <c r="B229" s="1" t="s">
        <v>101</v>
      </c>
      <c r="C229" s="1" t="s">
        <v>638</v>
      </c>
      <c r="D229" s="1" t="s">
        <v>639</v>
      </c>
      <c r="E229" s="1">
        <f t="shared" si="30"/>
        <v>3</v>
      </c>
      <c r="F229" s="1">
        <f t="shared" ref="F229:F230" si="33">G229*50</f>
        <v>30000000</v>
      </c>
      <c r="G229" s="1">
        <v>600000</v>
      </c>
      <c r="H229" s="1" t="s">
        <v>165</v>
      </c>
      <c r="I229" s="1" t="s">
        <v>19</v>
      </c>
      <c r="J229" s="223" t="s">
        <v>637</v>
      </c>
      <c r="K229" s="1" t="s">
        <v>636</v>
      </c>
    </row>
    <row r="230" spans="1:11" ht="54.95" customHeight="1" x14ac:dyDescent="0.25">
      <c r="A230" s="257">
        <v>229</v>
      </c>
      <c r="B230" s="1" t="s">
        <v>147</v>
      </c>
      <c r="C230" s="1" t="s">
        <v>18</v>
      </c>
      <c r="D230" s="1" t="s">
        <v>642</v>
      </c>
      <c r="E230" s="1">
        <f t="shared" si="30"/>
        <v>0.1585</v>
      </c>
      <c r="F230" s="1">
        <f t="shared" si="33"/>
        <v>1585000</v>
      </c>
      <c r="G230" s="1">
        <v>31700</v>
      </c>
      <c r="H230" s="1" t="s">
        <v>165</v>
      </c>
      <c r="I230" s="1" t="s">
        <v>25</v>
      </c>
      <c r="J230" s="224" t="s">
        <v>641</v>
      </c>
      <c r="K230" s="1" t="s">
        <v>640</v>
      </c>
    </row>
    <row r="231" spans="1:11" ht="54.95" customHeight="1" x14ac:dyDescent="0.25">
      <c r="A231" s="257">
        <v>230</v>
      </c>
      <c r="B231" s="1" t="s">
        <v>21</v>
      </c>
      <c r="C231" s="1" t="s">
        <v>18</v>
      </c>
      <c r="D231" s="1" t="s">
        <v>645</v>
      </c>
      <c r="E231" s="1">
        <f t="shared" si="30"/>
        <v>1.24</v>
      </c>
      <c r="F231" s="1">
        <v>12400000</v>
      </c>
      <c r="G231" s="1">
        <v>248000</v>
      </c>
      <c r="H231" s="1" t="s">
        <v>165</v>
      </c>
      <c r="I231" s="1" t="s">
        <v>89</v>
      </c>
      <c r="J231" s="225" t="s">
        <v>644</v>
      </c>
      <c r="K231" s="1" t="s">
        <v>643</v>
      </c>
    </row>
    <row r="232" spans="1:11" ht="54.95" customHeight="1" x14ac:dyDescent="0.25">
      <c r="A232" s="257">
        <v>231</v>
      </c>
      <c r="B232" s="1" t="s">
        <v>21</v>
      </c>
      <c r="C232" s="1" t="s">
        <v>18</v>
      </c>
      <c r="D232" s="1" t="s">
        <v>648</v>
      </c>
      <c r="E232" s="1">
        <f t="shared" si="30"/>
        <v>1.92</v>
      </c>
      <c r="F232" s="1">
        <v>19200000</v>
      </c>
      <c r="G232" s="1">
        <v>383000</v>
      </c>
      <c r="H232" s="1" t="s">
        <v>165</v>
      </c>
      <c r="I232" s="1" t="s">
        <v>89</v>
      </c>
      <c r="J232" s="226" t="s">
        <v>647</v>
      </c>
      <c r="K232" s="1" t="s">
        <v>646</v>
      </c>
    </row>
    <row r="233" spans="1:11" ht="54.95" customHeight="1" x14ac:dyDescent="0.25">
      <c r="A233" s="257">
        <v>232</v>
      </c>
      <c r="B233" s="1" t="s">
        <v>651</v>
      </c>
      <c r="C233" s="1" t="s">
        <v>156</v>
      </c>
      <c r="D233" s="1" t="s">
        <v>650</v>
      </c>
      <c r="E233" s="1">
        <f t="shared" si="30"/>
        <v>0.16</v>
      </c>
      <c r="F233" s="1">
        <f>G233*50</f>
        <v>1600000</v>
      </c>
      <c r="G233" s="1">
        <v>32000</v>
      </c>
      <c r="H233" s="1" t="s">
        <v>339</v>
      </c>
      <c r="I233" s="1" t="s">
        <v>352</v>
      </c>
      <c r="J233" s="227" t="s">
        <v>649</v>
      </c>
      <c r="K233" s="1" t="s">
        <v>649</v>
      </c>
    </row>
    <row r="234" spans="1:11" ht="54.95" customHeight="1" x14ac:dyDescent="0.25">
      <c r="A234" s="257">
        <v>233</v>
      </c>
      <c r="B234" s="1" t="s">
        <v>54</v>
      </c>
      <c r="C234" s="1" t="s">
        <v>63</v>
      </c>
      <c r="D234" s="1" t="s">
        <v>654</v>
      </c>
      <c r="E234" s="1">
        <f t="shared" si="30"/>
        <v>0.39049999999999996</v>
      </c>
      <c r="F234" s="1">
        <v>3904999.9999999995</v>
      </c>
      <c r="G234" s="1">
        <v>98000</v>
      </c>
      <c r="H234" s="1" t="s">
        <v>339</v>
      </c>
      <c r="I234" s="1" t="s">
        <v>13</v>
      </c>
      <c r="J234" s="228" t="s">
        <v>653</v>
      </c>
      <c r="K234" s="1" t="s">
        <v>652</v>
      </c>
    </row>
    <row r="235" spans="1:11" ht="54.95" customHeight="1" x14ac:dyDescent="0.25">
      <c r="A235" s="257">
        <v>234</v>
      </c>
      <c r="B235" s="1" t="s">
        <v>403</v>
      </c>
      <c r="C235" s="1" t="s">
        <v>18</v>
      </c>
      <c r="D235" s="1" t="s">
        <v>657</v>
      </c>
      <c r="E235" s="1">
        <f t="shared" si="30"/>
        <v>0.41499999999999998</v>
      </c>
      <c r="F235" s="1">
        <f>G235*50</f>
        <v>4150000</v>
      </c>
      <c r="G235" s="1">
        <v>83000</v>
      </c>
      <c r="H235" s="1" t="s">
        <v>339</v>
      </c>
      <c r="I235" s="1" t="s">
        <v>89</v>
      </c>
      <c r="J235" s="229" t="s">
        <v>656</v>
      </c>
      <c r="K235" s="1" t="s">
        <v>655</v>
      </c>
    </row>
    <row r="236" spans="1:11" ht="54.95" customHeight="1" x14ac:dyDescent="0.25">
      <c r="A236" s="257">
        <v>235</v>
      </c>
      <c r="B236" s="1" t="s">
        <v>141</v>
      </c>
      <c r="C236" s="1" t="s">
        <v>18</v>
      </c>
      <c r="D236" s="1" t="s">
        <v>660</v>
      </c>
      <c r="E236" s="1">
        <f t="shared" si="30"/>
        <v>0.15</v>
      </c>
      <c r="F236" s="1">
        <v>1500000</v>
      </c>
      <c r="G236" s="1">
        <v>45000</v>
      </c>
      <c r="H236" s="1" t="s">
        <v>339</v>
      </c>
      <c r="I236" s="1" t="s">
        <v>89</v>
      </c>
      <c r="J236" s="230" t="s">
        <v>659</v>
      </c>
      <c r="K236" s="1" t="s">
        <v>658</v>
      </c>
    </row>
    <row r="237" spans="1:11" ht="54.95" customHeight="1" x14ac:dyDescent="0.25">
      <c r="A237" s="257">
        <v>236</v>
      </c>
      <c r="B237" s="1" t="s">
        <v>316</v>
      </c>
      <c r="C237" s="1" t="s">
        <v>164</v>
      </c>
      <c r="D237" s="1" t="s">
        <v>663</v>
      </c>
      <c r="E237" s="1">
        <f t="shared" si="30"/>
        <v>1.49</v>
      </c>
      <c r="F237" s="1">
        <v>14900000</v>
      </c>
      <c r="G237" s="1">
        <v>298000</v>
      </c>
      <c r="H237" s="1" t="s">
        <v>339</v>
      </c>
      <c r="I237" s="1" t="s">
        <v>267</v>
      </c>
      <c r="J237" s="231" t="s">
        <v>662</v>
      </c>
      <c r="K237" s="1" t="s">
        <v>661</v>
      </c>
    </row>
    <row r="238" spans="1:11" ht="54.95" customHeight="1" x14ac:dyDescent="0.25">
      <c r="A238" s="257">
        <v>237</v>
      </c>
      <c r="B238" s="1" t="s">
        <v>141</v>
      </c>
      <c r="C238" s="1" t="s">
        <v>18</v>
      </c>
      <c r="D238" s="1" t="s">
        <v>666</v>
      </c>
      <c r="E238" s="1">
        <f t="shared" si="30"/>
        <v>0.1255</v>
      </c>
      <c r="F238" s="1">
        <v>1255000</v>
      </c>
      <c r="G238" s="1">
        <v>45000</v>
      </c>
      <c r="H238" s="1" t="s">
        <v>339</v>
      </c>
      <c r="I238" s="1" t="s">
        <v>89</v>
      </c>
      <c r="J238" s="232" t="s">
        <v>665</v>
      </c>
      <c r="K238" s="1" t="s">
        <v>664</v>
      </c>
    </row>
    <row r="239" spans="1:11" ht="54.95" customHeight="1" x14ac:dyDescent="0.25">
      <c r="A239" s="257">
        <v>238</v>
      </c>
      <c r="B239" s="1" t="s">
        <v>147</v>
      </c>
      <c r="C239" s="1" t="s">
        <v>18</v>
      </c>
      <c r="D239" s="1" t="s">
        <v>669</v>
      </c>
      <c r="E239" s="1">
        <f t="shared" si="30"/>
        <v>0.20130000000000001</v>
      </c>
      <c r="F239" s="1">
        <v>2013000</v>
      </c>
      <c r="G239" s="1">
        <v>61000</v>
      </c>
      <c r="H239" s="1" t="s">
        <v>339</v>
      </c>
      <c r="I239" s="1" t="s">
        <v>89</v>
      </c>
      <c r="J239" s="233" t="s">
        <v>668</v>
      </c>
      <c r="K239" s="1" t="s">
        <v>667</v>
      </c>
    </row>
    <row r="240" spans="1:11" ht="54.95" customHeight="1" x14ac:dyDescent="0.25">
      <c r="A240" s="257">
        <v>239</v>
      </c>
      <c r="B240" s="1" t="s">
        <v>141</v>
      </c>
      <c r="C240" s="1" t="s">
        <v>18</v>
      </c>
      <c r="D240" s="1" t="s">
        <v>672</v>
      </c>
      <c r="E240" s="1">
        <f t="shared" si="30"/>
        <v>0.20749999999999999</v>
      </c>
      <c r="F240" s="1">
        <f>G240*50</f>
        <v>2075000</v>
      </c>
      <c r="G240" s="1">
        <v>41500</v>
      </c>
      <c r="H240" s="1" t="s">
        <v>339</v>
      </c>
      <c r="I240" s="1" t="s">
        <v>19</v>
      </c>
      <c r="J240" s="234" t="s">
        <v>671</v>
      </c>
      <c r="K240" s="1" t="s">
        <v>670</v>
      </c>
    </row>
    <row r="241" spans="1:11" ht="54.95" customHeight="1" x14ac:dyDescent="0.25">
      <c r="A241" s="257">
        <v>240</v>
      </c>
      <c r="B241" s="1" t="s">
        <v>147</v>
      </c>
      <c r="C241" s="1" t="s">
        <v>18</v>
      </c>
      <c r="D241" s="1" t="s">
        <v>675</v>
      </c>
      <c r="E241" s="1">
        <f t="shared" si="30"/>
        <v>0.15049999999999999</v>
      </c>
      <c r="F241" s="1">
        <v>1505000</v>
      </c>
      <c r="G241" s="1">
        <v>45600</v>
      </c>
      <c r="H241" s="1" t="s">
        <v>339</v>
      </c>
      <c r="I241" s="1" t="s">
        <v>89</v>
      </c>
      <c r="J241" s="235" t="s">
        <v>674</v>
      </c>
      <c r="K241" s="1" t="s">
        <v>673</v>
      </c>
    </row>
    <row r="242" spans="1:11" ht="54.95" customHeight="1" x14ac:dyDescent="0.25">
      <c r="A242" s="257">
        <v>241</v>
      </c>
      <c r="B242" s="1" t="s">
        <v>22</v>
      </c>
      <c r="C242" s="1" t="s">
        <v>18</v>
      </c>
      <c r="D242" s="1" t="s">
        <v>678</v>
      </c>
      <c r="E242" s="1">
        <f t="shared" si="30"/>
        <v>0.14910000000000001</v>
      </c>
      <c r="F242" s="1">
        <v>1491000</v>
      </c>
      <c r="G242" s="1">
        <v>45000</v>
      </c>
      <c r="H242" s="1" t="s">
        <v>339</v>
      </c>
      <c r="I242" s="1" t="s">
        <v>89</v>
      </c>
      <c r="J242" s="236" t="s">
        <v>677</v>
      </c>
      <c r="K242" s="1" t="s">
        <v>676</v>
      </c>
    </row>
    <row r="243" spans="1:11" ht="54.95" customHeight="1" x14ac:dyDescent="0.25">
      <c r="A243" s="257">
        <v>242</v>
      </c>
      <c r="B243" s="1" t="s">
        <v>101</v>
      </c>
      <c r="C243" s="1" t="s">
        <v>18</v>
      </c>
      <c r="D243" s="1" t="s">
        <v>681</v>
      </c>
      <c r="E243" s="1">
        <f t="shared" si="30"/>
        <v>0.27</v>
      </c>
      <c r="F243" s="1">
        <v>2700000</v>
      </c>
      <c r="G243" s="1">
        <v>54000</v>
      </c>
      <c r="H243" s="1" t="s">
        <v>307</v>
      </c>
      <c r="I243" s="1" t="s">
        <v>111</v>
      </c>
      <c r="J243" s="237" t="s">
        <v>680</v>
      </c>
      <c r="K243" s="1" t="s">
        <v>679</v>
      </c>
    </row>
    <row r="244" spans="1:11" ht="54.95" customHeight="1" x14ac:dyDescent="0.25">
      <c r="A244" s="257">
        <v>243</v>
      </c>
      <c r="B244" s="1" t="s">
        <v>21</v>
      </c>
      <c r="C244" s="1" t="s">
        <v>52</v>
      </c>
      <c r="D244" s="1" t="s">
        <v>684</v>
      </c>
      <c r="E244" s="1">
        <f t="shared" si="30"/>
        <v>0.2117</v>
      </c>
      <c r="F244" s="1">
        <v>2117000</v>
      </c>
      <c r="G244" s="1">
        <v>49960</v>
      </c>
      <c r="H244" s="1" t="s">
        <v>307</v>
      </c>
      <c r="I244" s="1" t="s">
        <v>267</v>
      </c>
      <c r="J244" s="238" t="s">
        <v>683</v>
      </c>
      <c r="K244" s="1" t="s">
        <v>682</v>
      </c>
    </row>
    <row r="245" spans="1:11" ht="54.95" customHeight="1" x14ac:dyDescent="0.25">
      <c r="A245" s="257">
        <v>244</v>
      </c>
      <c r="B245" s="1" t="s">
        <v>15</v>
      </c>
      <c r="C245" s="1" t="s">
        <v>29</v>
      </c>
      <c r="D245" s="1" t="s">
        <v>687</v>
      </c>
      <c r="E245" s="1">
        <f t="shared" si="30"/>
        <v>0.46</v>
      </c>
      <c r="F245" s="1">
        <f>G245*50</f>
        <v>4600000</v>
      </c>
      <c r="G245" s="1">
        <v>92000</v>
      </c>
      <c r="H245" s="1" t="s">
        <v>307</v>
      </c>
      <c r="I245" s="1" t="s">
        <v>267</v>
      </c>
      <c r="J245" s="239" t="s">
        <v>686</v>
      </c>
      <c r="K245" s="1" t="s">
        <v>685</v>
      </c>
    </row>
    <row r="246" spans="1:11" ht="54.95" customHeight="1" x14ac:dyDescent="0.25">
      <c r="A246" s="257">
        <v>245</v>
      </c>
      <c r="B246" s="1" t="s">
        <v>54</v>
      </c>
      <c r="C246" s="1" t="s">
        <v>18</v>
      </c>
      <c r="D246" s="1" t="s">
        <v>690</v>
      </c>
      <c r="E246" s="1">
        <f t="shared" si="30"/>
        <v>1.7</v>
      </c>
      <c r="F246" s="1">
        <v>17000000</v>
      </c>
      <c r="G246" s="1">
        <v>340000</v>
      </c>
      <c r="H246" s="1" t="s">
        <v>307</v>
      </c>
      <c r="I246" s="1" t="s">
        <v>267</v>
      </c>
      <c r="J246" s="240" t="s">
        <v>689</v>
      </c>
      <c r="K246" s="1" t="s">
        <v>688</v>
      </c>
    </row>
    <row r="247" spans="1:11" ht="54.95" customHeight="1" x14ac:dyDescent="0.25">
      <c r="A247" s="257">
        <v>246</v>
      </c>
      <c r="B247" s="1" t="s">
        <v>54</v>
      </c>
      <c r="C247" s="1" t="s">
        <v>11</v>
      </c>
      <c r="D247" s="1" t="s">
        <v>693</v>
      </c>
      <c r="E247" s="1">
        <f t="shared" si="30"/>
        <v>0.85619999999999996</v>
      </c>
      <c r="F247" s="1">
        <v>8562000</v>
      </c>
      <c r="G247" s="1">
        <v>171000</v>
      </c>
      <c r="H247" s="1" t="s">
        <v>307</v>
      </c>
      <c r="I247" s="1" t="s">
        <v>448</v>
      </c>
      <c r="J247" s="241" t="s">
        <v>692</v>
      </c>
      <c r="K247" s="1" t="s">
        <v>691</v>
      </c>
    </row>
    <row r="248" spans="1:11" ht="54.95" customHeight="1" x14ac:dyDescent="0.25">
      <c r="A248" s="257">
        <v>247</v>
      </c>
      <c r="B248" s="1" t="s">
        <v>21</v>
      </c>
      <c r="C248" s="1" t="s">
        <v>52</v>
      </c>
      <c r="D248" s="1" t="s">
        <v>696</v>
      </c>
      <c r="E248" s="1">
        <f t="shared" si="30"/>
        <v>0.14119999999999999</v>
      </c>
      <c r="F248" s="1">
        <v>1412000</v>
      </c>
      <c r="G248" s="1">
        <v>30640</v>
      </c>
      <c r="H248" s="1" t="s">
        <v>307</v>
      </c>
      <c r="I248" s="1" t="s">
        <v>267</v>
      </c>
      <c r="J248" s="242" t="s">
        <v>695</v>
      </c>
      <c r="K248" s="1" t="s">
        <v>694</v>
      </c>
    </row>
    <row r="249" spans="1:11" ht="54.95" customHeight="1" x14ac:dyDescent="0.25">
      <c r="A249" s="257">
        <v>248</v>
      </c>
      <c r="B249" s="1" t="s">
        <v>65</v>
      </c>
      <c r="C249" s="1" t="s">
        <v>295</v>
      </c>
      <c r="D249" s="1" t="s">
        <v>699</v>
      </c>
      <c r="E249" s="1">
        <f t="shared" si="30"/>
        <v>3</v>
      </c>
      <c r="F249" s="1">
        <v>30000000</v>
      </c>
      <c r="G249" s="1">
        <v>625000</v>
      </c>
      <c r="H249" s="1" t="s">
        <v>307</v>
      </c>
      <c r="I249" s="1" t="s">
        <v>19</v>
      </c>
      <c r="J249" s="243" t="s">
        <v>698</v>
      </c>
      <c r="K249" s="1" t="s">
        <v>697</v>
      </c>
    </row>
    <row r="250" spans="1:11" ht="54.95" customHeight="1" x14ac:dyDescent="0.25">
      <c r="A250" s="257">
        <v>249</v>
      </c>
      <c r="B250" s="1" t="s">
        <v>21</v>
      </c>
      <c r="C250" s="1" t="s">
        <v>63</v>
      </c>
      <c r="D250" s="1" t="s">
        <v>702</v>
      </c>
      <c r="E250" s="1">
        <f t="shared" si="30"/>
        <v>0.4466</v>
      </c>
      <c r="F250" s="1">
        <v>4466000</v>
      </c>
      <c r="G250" s="1">
        <v>112000.00000000001</v>
      </c>
      <c r="H250" s="1" t="s">
        <v>307</v>
      </c>
      <c r="I250" s="1" t="s">
        <v>94</v>
      </c>
      <c r="J250" s="244" t="s">
        <v>701</v>
      </c>
      <c r="K250" s="1" t="s">
        <v>700</v>
      </c>
    </row>
    <row r="251" spans="1:11" ht="54.95" customHeight="1" x14ac:dyDescent="0.25">
      <c r="A251" s="257">
        <v>250</v>
      </c>
      <c r="B251" s="1" t="s">
        <v>147</v>
      </c>
      <c r="C251" s="1" t="s">
        <v>18</v>
      </c>
      <c r="D251" s="1" t="s">
        <v>705</v>
      </c>
      <c r="E251" s="1">
        <f t="shared" si="30"/>
        <v>0.28999999999999998</v>
      </c>
      <c r="F251" s="1">
        <f>G251*50</f>
        <v>2900000</v>
      </c>
      <c r="G251" s="1">
        <v>58000</v>
      </c>
      <c r="H251" s="1" t="s">
        <v>307</v>
      </c>
      <c r="I251" s="1" t="s">
        <v>111</v>
      </c>
      <c r="J251" s="245" t="s">
        <v>704</v>
      </c>
      <c r="K251" s="1" t="s">
        <v>703</v>
      </c>
    </row>
    <row r="252" spans="1:11" ht="54.95" customHeight="1" x14ac:dyDescent="0.25">
      <c r="A252" s="257">
        <v>251</v>
      </c>
      <c r="B252" s="1" t="s">
        <v>72</v>
      </c>
      <c r="C252" s="1" t="s">
        <v>63</v>
      </c>
      <c r="D252" s="1" t="s">
        <v>708</v>
      </c>
      <c r="E252" s="1">
        <f t="shared" si="30"/>
        <v>4.1799999999999997E-2</v>
      </c>
      <c r="F252" s="1">
        <v>418000</v>
      </c>
      <c r="G252" s="1">
        <v>10500</v>
      </c>
      <c r="H252" s="1" t="s">
        <v>307</v>
      </c>
      <c r="I252" s="1" t="s">
        <v>169</v>
      </c>
      <c r="J252" s="246" t="s">
        <v>707</v>
      </c>
      <c r="K252" s="1" t="s">
        <v>706</v>
      </c>
    </row>
    <row r="253" spans="1:11" ht="54.95" customHeight="1" x14ac:dyDescent="0.25">
      <c r="A253" s="257">
        <v>252</v>
      </c>
      <c r="B253" s="1" t="s">
        <v>147</v>
      </c>
      <c r="C253" s="1" t="s">
        <v>18</v>
      </c>
      <c r="D253" s="1" t="s">
        <v>711</v>
      </c>
      <c r="E253" s="1">
        <f t="shared" si="30"/>
        <v>0.2525</v>
      </c>
      <c r="F253" s="1">
        <v>2525000</v>
      </c>
      <c r="G253" s="1">
        <v>50500</v>
      </c>
      <c r="H253" s="1" t="s">
        <v>307</v>
      </c>
      <c r="I253" s="1" t="s">
        <v>111</v>
      </c>
      <c r="J253" s="247" t="s">
        <v>710</v>
      </c>
      <c r="K253" s="1" t="s">
        <v>709</v>
      </c>
    </row>
    <row r="254" spans="1:11" ht="54.95" customHeight="1" x14ac:dyDescent="0.25">
      <c r="A254" s="257">
        <v>253</v>
      </c>
      <c r="B254" s="1" t="s">
        <v>54</v>
      </c>
      <c r="C254" s="1" t="s">
        <v>587</v>
      </c>
      <c r="D254" s="1" t="s">
        <v>714</v>
      </c>
      <c r="E254" s="1">
        <f t="shared" si="30"/>
        <v>0.25</v>
      </c>
      <c r="F254" s="1">
        <f t="shared" ref="F254:F255" si="34">G254*50</f>
        <v>2500000</v>
      </c>
      <c r="G254" s="1">
        <v>50000</v>
      </c>
      <c r="H254" s="1" t="s">
        <v>307</v>
      </c>
      <c r="I254" s="1" t="s">
        <v>111</v>
      </c>
      <c r="J254" s="248" t="s">
        <v>713</v>
      </c>
      <c r="K254" s="1" t="s">
        <v>712</v>
      </c>
    </row>
    <row r="255" spans="1:11" ht="54.95" customHeight="1" x14ac:dyDescent="0.25">
      <c r="A255" s="257">
        <v>254</v>
      </c>
      <c r="B255" s="1" t="s">
        <v>15</v>
      </c>
      <c r="C255" s="1" t="s">
        <v>717</v>
      </c>
      <c r="D255" s="1" t="s">
        <v>718</v>
      </c>
      <c r="E255" s="1">
        <f t="shared" si="30"/>
        <v>4</v>
      </c>
      <c r="F255" s="1">
        <f t="shared" si="34"/>
        <v>40000000</v>
      </c>
      <c r="G255" s="1">
        <v>800000</v>
      </c>
      <c r="H255" s="1" t="s">
        <v>307</v>
      </c>
      <c r="I255" s="1" t="s">
        <v>267</v>
      </c>
      <c r="J255" s="249" t="s">
        <v>716</v>
      </c>
      <c r="K255" s="1" t="s">
        <v>715</v>
      </c>
    </row>
    <row r="256" spans="1:11" ht="54.95" customHeight="1" x14ac:dyDescent="0.25">
      <c r="A256" s="257">
        <v>255</v>
      </c>
      <c r="B256" s="1" t="s">
        <v>141</v>
      </c>
      <c r="C256" s="1" t="s">
        <v>721</v>
      </c>
      <c r="D256" s="1" t="s">
        <v>722</v>
      </c>
      <c r="E256" s="1">
        <f t="shared" si="30"/>
        <v>0.33289999999999997</v>
      </c>
      <c r="F256" s="1">
        <v>3329000</v>
      </c>
      <c r="G256" s="1">
        <v>66500</v>
      </c>
      <c r="H256" s="1" t="s">
        <v>307</v>
      </c>
      <c r="I256" s="1" t="s">
        <v>89</v>
      </c>
      <c r="J256" s="250" t="s">
        <v>720</v>
      </c>
      <c r="K256" s="1" t="s">
        <v>719</v>
      </c>
    </row>
    <row r="257" spans="1:11" ht="54.95" customHeight="1" x14ac:dyDescent="0.25">
      <c r="A257" s="257">
        <v>256</v>
      </c>
      <c r="B257" s="1" t="s">
        <v>101</v>
      </c>
      <c r="C257" s="1" t="s">
        <v>18</v>
      </c>
      <c r="D257" s="1" t="s">
        <v>725</v>
      </c>
      <c r="E257" s="1">
        <f t="shared" si="30"/>
        <v>0.30499999999999999</v>
      </c>
      <c r="F257" s="1">
        <v>3050000</v>
      </c>
      <c r="G257" s="1">
        <v>61000</v>
      </c>
      <c r="H257" s="1" t="s">
        <v>307</v>
      </c>
      <c r="I257" s="1" t="s">
        <v>111</v>
      </c>
      <c r="J257" s="251" t="s">
        <v>724</v>
      </c>
      <c r="K257" s="1" t="s">
        <v>723</v>
      </c>
    </row>
    <row r="258" spans="1:11" ht="54.95" customHeight="1" x14ac:dyDescent="0.25">
      <c r="A258" s="257">
        <v>257</v>
      </c>
      <c r="B258" s="1" t="s">
        <v>54</v>
      </c>
      <c r="C258" s="1" t="s">
        <v>18</v>
      </c>
      <c r="D258" s="1" t="s">
        <v>728</v>
      </c>
      <c r="E258" s="1">
        <f t="shared" si="30"/>
        <v>1.78</v>
      </c>
      <c r="F258" s="1">
        <v>17800000</v>
      </c>
      <c r="G258" s="1">
        <v>356000</v>
      </c>
      <c r="H258" s="1" t="s">
        <v>307</v>
      </c>
      <c r="I258" s="1" t="s">
        <v>94</v>
      </c>
      <c r="J258" s="252" t="s">
        <v>727</v>
      </c>
      <c r="K258" s="1" t="s">
        <v>726</v>
      </c>
    </row>
    <row r="259" spans="1:11" ht="54.95" customHeight="1" x14ac:dyDescent="0.25">
      <c r="A259" s="257">
        <v>258</v>
      </c>
      <c r="B259" s="1" t="s">
        <v>147</v>
      </c>
      <c r="C259" s="1" t="s">
        <v>18</v>
      </c>
      <c r="D259" s="1" t="s">
        <v>731</v>
      </c>
      <c r="E259" s="1">
        <f t="shared" si="30"/>
        <v>0.2525</v>
      </c>
      <c r="F259" s="1">
        <v>2525000</v>
      </c>
      <c r="G259" s="1">
        <v>50500</v>
      </c>
      <c r="H259" s="1" t="s">
        <v>307</v>
      </c>
      <c r="I259" s="1" t="s">
        <v>111</v>
      </c>
      <c r="J259" s="253" t="s">
        <v>730</v>
      </c>
      <c r="K259" s="1" t="s">
        <v>729</v>
      </c>
    </row>
    <row r="260" spans="1:11" ht="54.95" customHeight="1" x14ac:dyDescent="0.25">
      <c r="A260" s="257">
        <v>259</v>
      </c>
      <c r="B260" s="1" t="s">
        <v>65</v>
      </c>
      <c r="C260" s="1" t="s">
        <v>295</v>
      </c>
      <c r="D260" s="1" t="s">
        <v>734</v>
      </c>
      <c r="E260" s="1">
        <f t="shared" si="30"/>
        <v>0.22</v>
      </c>
      <c r="F260" s="1">
        <v>2200000</v>
      </c>
      <c r="G260" s="1">
        <v>66000</v>
      </c>
      <c r="H260" s="1" t="s">
        <v>307</v>
      </c>
      <c r="I260" s="1" t="s">
        <v>267</v>
      </c>
      <c r="J260" s="254" t="s">
        <v>733</v>
      </c>
      <c r="K260" s="1" t="s">
        <v>732</v>
      </c>
    </row>
    <row r="261" spans="1:11" ht="54.95" customHeight="1" x14ac:dyDescent="0.25">
      <c r="A261" s="257">
        <v>260</v>
      </c>
      <c r="B261" s="1" t="s">
        <v>316</v>
      </c>
      <c r="C261" s="1" t="s">
        <v>587</v>
      </c>
      <c r="D261" s="1" t="s">
        <v>737</v>
      </c>
      <c r="E261" s="1">
        <f t="shared" si="30"/>
        <v>3.54</v>
      </c>
      <c r="F261" s="1">
        <v>35400000</v>
      </c>
      <c r="G261" s="1">
        <v>715000</v>
      </c>
      <c r="H261" s="1" t="s">
        <v>307</v>
      </c>
      <c r="I261" s="1" t="s">
        <v>94</v>
      </c>
      <c r="J261" s="255" t="s">
        <v>736</v>
      </c>
      <c r="K261" s="1" t="s">
        <v>735</v>
      </c>
    </row>
    <row r="262" spans="1:11" ht="54.95" customHeight="1" x14ac:dyDescent="0.25">
      <c r="A262" s="257">
        <v>261</v>
      </c>
      <c r="B262" s="1" t="s">
        <v>72</v>
      </c>
      <c r="C262" s="1" t="s">
        <v>721</v>
      </c>
      <c r="D262" s="1" t="s">
        <v>739</v>
      </c>
      <c r="E262" s="1">
        <f t="shared" ref="E262" si="35">F262/10000000</f>
        <v>0.33239999999999997</v>
      </c>
      <c r="F262" s="1">
        <v>3324000</v>
      </c>
      <c r="G262" s="1">
        <v>66500</v>
      </c>
      <c r="H262" s="1" t="s">
        <v>307</v>
      </c>
      <c r="I262" s="1" t="s">
        <v>89</v>
      </c>
      <c r="J262" s="256" t="s">
        <v>738</v>
      </c>
      <c r="K262" s="1" t="s">
        <v>719</v>
      </c>
    </row>
  </sheetData>
  <autoFilter ref="A1:K262"/>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62" r:id="rId58"/>
    <hyperlink ref="J63" r:id="rId59"/>
    <hyperlink ref="J64" r:id="rId60"/>
    <hyperlink ref="J65" r:id="rId61"/>
    <hyperlink ref="J66" r:id="rId62"/>
    <hyperlink ref="J67" r:id="rId63"/>
    <hyperlink ref="J68" r:id="rId64"/>
    <hyperlink ref="J69" r:id="rId65"/>
    <hyperlink ref="J70" r:id="rId66"/>
    <hyperlink ref="J71" r:id="rId67"/>
    <hyperlink ref="J72" r:id="rId68"/>
    <hyperlink ref="J73" r:id="rId69"/>
    <hyperlink ref="J74" r:id="rId70"/>
    <hyperlink ref="J75" r:id="rId71"/>
    <hyperlink ref="J76" r:id="rId72"/>
    <hyperlink ref="J77" r:id="rId73"/>
    <hyperlink ref="J78" r:id="rId74"/>
    <hyperlink ref="J79" r:id="rId75"/>
    <hyperlink ref="J80" r:id="rId76"/>
    <hyperlink ref="J81" r:id="rId77"/>
    <hyperlink ref="J82" r:id="rId78"/>
    <hyperlink ref="J83" r:id="rId79"/>
    <hyperlink ref="J84" r:id="rId80"/>
    <hyperlink ref="J85" r:id="rId81"/>
    <hyperlink ref="J86" r:id="rId82"/>
    <hyperlink ref="J87" r:id="rId83"/>
    <hyperlink ref="J88" r:id="rId84"/>
    <hyperlink ref="J89" r:id="rId85"/>
    <hyperlink ref="J90" r:id="rId86"/>
    <hyperlink ref="J91" r:id="rId87"/>
    <hyperlink ref="J92" r:id="rId88"/>
    <hyperlink ref="J93" r:id="rId89"/>
    <hyperlink ref="J94" r:id="rId90"/>
    <hyperlink ref="J95" r:id="rId91"/>
    <hyperlink ref="J96" r:id="rId92"/>
    <hyperlink ref="J97" r:id="rId93"/>
    <hyperlink ref="J98" r:id="rId94"/>
    <hyperlink ref="J99" r:id="rId95"/>
    <hyperlink ref="J100" r:id="rId96"/>
    <hyperlink ref="J101" r:id="rId97"/>
    <hyperlink ref="J102" r:id="rId98"/>
    <hyperlink ref="J103" r:id="rId99"/>
    <hyperlink ref="J104" r:id="rId100"/>
    <hyperlink ref="J105" r:id="rId101"/>
    <hyperlink ref="J106" r:id="rId102"/>
    <hyperlink ref="J107" r:id="rId103"/>
    <hyperlink ref="J108" r:id="rId104"/>
    <hyperlink ref="J109" r:id="rId105"/>
    <hyperlink ref="J110" r:id="rId106"/>
    <hyperlink ref="J111" r:id="rId107"/>
    <hyperlink ref="J112" r:id="rId108"/>
    <hyperlink ref="J113" r:id="rId109"/>
    <hyperlink ref="J114" r:id="rId110"/>
    <hyperlink ref="J115" r:id="rId111"/>
    <hyperlink ref="J116" r:id="rId112"/>
    <hyperlink ref="J117" r:id="rId113"/>
    <hyperlink ref="J118" r:id="rId114"/>
    <hyperlink ref="J119" r:id="rId115"/>
    <hyperlink ref="J120" r:id="rId116"/>
    <hyperlink ref="J121" r:id="rId117"/>
    <hyperlink ref="J122" r:id="rId118"/>
    <hyperlink ref="J123" r:id="rId119"/>
    <hyperlink ref="J124" r:id="rId120"/>
    <hyperlink ref="J125" r:id="rId121"/>
    <hyperlink ref="J126" r:id="rId122"/>
    <hyperlink ref="J127" r:id="rId123"/>
    <hyperlink ref="J128" r:id="rId124"/>
    <hyperlink ref="J129" r:id="rId125"/>
    <hyperlink ref="J130" r:id="rId126"/>
    <hyperlink ref="J131" r:id="rId127"/>
    <hyperlink ref="J132" r:id="rId128"/>
    <hyperlink ref="J133" r:id="rId129"/>
    <hyperlink ref="J134" r:id="rId130"/>
    <hyperlink ref="J135" r:id="rId131"/>
    <hyperlink ref="J136" r:id="rId132"/>
    <hyperlink ref="J137" r:id="rId133"/>
    <hyperlink ref="J138" r:id="rId134"/>
    <hyperlink ref="J139" r:id="rId135"/>
    <hyperlink ref="J140" r:id="rId136"/>
    <hyperlink ref="J141" r:id="rId137"/>
    <hyperlink ref="J142" r:id="rId138"/>
    <hyperlink ref="J143" r:id="rId139"/>
    <hyperlink ref="J144" r:id="rId140"/>
    <hyperlink ref="J145" r:id="rId141"/>
    <hyperlink ref="J146" r:id="rId142"/>
    <hyperlink ref="J147" r:id="rId143"/>
    <hyperlink ref="J148" r:id="rId144"/>
    <hyperlink ref="J149" r:id="rId145"/>
    <hyperlink ref="J150" r:id="rId146"/>
    <hyperlink ref="J151" r:id="rId147"/>
    <hyperlink ref="J152" r:id="rId148"/>
    <hyperlink ref="J153" r:id="rId149"/>
    <hyperlink ref="J154" r:id="rId150"/>
    <hyperlink ref="J155" r:id="rId151"/>
    <hyperlink ref="J156" r:id="rId152"/>
    <hyperlink ref="J157" r:id="rId153"/>
    <hyperlink ref="J158" r:id="rId154"/>
    <hyperlink ref="J159" r:id="rId155"/>
    <hyperlink ref="J160" r:id="rId156"/>
    <hyperlink ref="J165" r:id="rId157"/>
    <hyperlink ref="J166" r:id="rId158"/>
    <hyperlink ref="J167" r:id="rId159"/>
    <hyperlink ref="J168" r:id="rId160"/>
    <hyperlink ref="J169" r:id="rId161"/>
    <hyperlink ref="J170" r:id="rId162"/>
    <hyperlink ref="J171" r:id="rId163"/>
    <hyperlink ref="J172" r:id="rId164"/>
    <hyperlink ref="J173" r:id="rId165"/>
    <hyperlink ref="J174" r:id="rId166"/>
    <hyperlink ref="J175" r:id="rId167"/>
    <hyperlink ref="J176" r:id="rId168"/>
    <hyperlink ref="J177" r:id="rId169"/>
    <hyperlink ref="J178" r:id="rId170"/>
    <hyperlink ref="J179" r:id="rId171"/>
    <hyperlink ref="J180" r:id="rId172"/>
    <hyperlink ref="J181" r:id="rId173"/>
    <hyperlink ref="J182" r:id="rId174"/>
    <hyperlink ref="J183" r:id="rId175"/>
    <hyperlink ref="J184" r:id="rId176"/>
    <hyperlink ref="J185" r:id="rId177"/>
    <hyperlink ref="J186" r:id="rId178"/>
    <hyperlink ref="J187" r:id="rId179"/>
    <hyperlink ref="J188" r:id="rId180"/>
    <hyperlink ref="J189" r:id="rId181"/>
    <hyperlink ref="J190" r:id="rId182"/>
    <hyperlink ref="J191" r:id="rId183"/>
    <hyperlink ref="J192" r:id="rId184"/>
    <hyperlink ref="J193" r:id="rId185"/>
    <hyperlink ref="J194" r:id="rId186"/>
    <hyperlink ref="J195" r:id="rId187"/>
    <hyperlink ref="J196" r:id="rId188"/>
    <hyperlink ref="J197" r:id="rId189"/>
    <hyperlink ref="J198" r:id="rId190"/>
    <hyperlink ref="J199" r:id="rId191"/>
    <hyperlink ref="J200" r:id="rId192"/>
    <hyperlink ref="J201" r:id="rId193"/>
    <hyperlink ref="J202" r:id="rId194"/>
    <hyperlink ref="J203" r:id="rId195"/>
    <hyperlink ref="J204" r:id="rId196"/>
    <hyperlink ref="J205" r:id="rId197"/>
    <hyperlink ref="J206" r:id="rId198"/>
    <hyperlink ref="J207" r:id="rId199"/>
    <hyperlink ref="J208" r:id="rId200"/>
    <hyperlink ref="J209" r:id="rId201"/>
    <hyperlink ref="J210" r:id="rId202"/>
    <hyperlink ref="J211" r:id="rId203"/>
    <hyperlink ref="J212" r:id="rId204"/>
    <hyperlink ref="J213" r:id="rId205"/>
    <hyperlink ref="J214" r:id="rId206"/>
    <hyperlink ref="J215" r:id="rId207"/>
    <hyperlink ref="J216" r:id="rId208"/>
    <hyperlink ref="J217" r:id="rId209"/>
    <hyperlink ref="J218" r:id="rId210"/>
    <hyperlink ref="J219" r:id="rId211"/>
    <hyperlink ref="J220" r:id="rId212"/>
    <hyperlink ref="J221" r:id="rId213"/>
    <hyperlink ref="J222" r:id="rId214"/>
    <hyperlink ref="J223" r:id="rId215"/>
    <hyperlink ref="J224" r:id="rId216"/>
    <hyperlink ref="J225" r:id="rId217"/>
    <hyperlink ref="J226" r:id="rId218"/>
    <hyperlink ref="J227" r:id="rId219"/>
    <hyperlink ref="J228" r:id="rId220"/>
    <hyperlink ref="J229" r:id="rId221"/>
    <hyperlink ref="J230" r:id="rId222"/>
    <hyperlink ref="J231" r:id="rId223"/>
    <hyperlink ref="J232" r:id="rId224"/>
    <hyperlink ref="J233" r:id="rId225"/>
    <hyperlink ref="J234" r:id="rId226"/>
    <hyperlink ref="J235" r:id="rId227"/>
    <hyperlink ref="J236" r:id="rId228"/>
    <hyperlink ref="J237" r:id="rId229"/>
    <hyperlink ref="J238" r:id="rId230"/>
    <hyperlink ref="J239" r:id="rId231"/>
    <hyperlink ref="J240" r:id="rId232"/>
    <hyperlink ref="J241" r:id="rId233"/>
    <hyperlink ref="J242" r:id="rId234"/>
    <hyperlink ref="J243" r:id="rId235"/>
    <hyperlink ref="J244" r:id="rId236"/>
    <hyperlink ref="J245" r:id="rId237"/>
    <hyperlink ref="J246" r:id="rId238"/>
    <hyperlink ref="J247" r:id="rId239"/>
    <hyperlink ref="J248" r:id="rId240"/>
    <hyperlink ref="J249" r:id="rId241"/>
    <hyperlink ref="J250" r:id="rId242"/>
    <hyperlink ref="J251" r:id="rId243"/>
    <hyperlink ref="J252" r:id="rId244"/>
    <hyperlink ref="J253" r:id="rId245"/>
    <hyperlink ref="J254" r:id="rId246"/>
    <hyperlink ref="J255" r:id="rId247"/>
    <hyperlink ref="J256" r:id="rId248"/>
    <hyperlink ref="J257" r:id="rId249"/>
    <hyperlink ref="J258" r:id="rId250"/>
    <hyperlink ref="J259" r:id="rId251"/>
    <hyperlink ref="J260" r:id="rId252"/>
    <hyperlink ref="J261" r:id="rId253"/>
    <hyperlink ref="J262" r:id="rId254"/>
    <hyperlink ref="J59:J61" r:id="rId255" display="N-947b8e8e-b933-4e09-a1d7-1439da5a7f77"/>
    <hyperlink ref="J161:J164" r:id="rId256" display="N-d7af583e-b366-4f2c-95c1-2fb0a48d1417"/>
  </hyperlinks>
  <pageMargins left="0.7" right="0.7" top="0.75" bottom="0.75" header="0.3" footer="0.3"/>
  <pageSetup orientation="portrait" r:id="rId25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6:O272"/>
  <sheetViews>
    <sheetView tabSelected="1" workbookViewId="0">
      <selection activeCell="R14" sqref="R14"/>
    </sheetView>
  </sheetViews>
  <sheetFormatPr defaultRowHeight="15" x14ac:dyDescent="0.25"/>
  <cols>
    <col min="5" max="5" width="10.5703125" customWidth="1"/>
    <col min="6" max="6" width="21.140625" customWidth="1"/>
    <col min="7" max="7" width="19.5703125" customWidth="1"/>
    <col min="8" max="8" width="21.42578125" customWidth="1"/>
    <col min="9" max="9" width="17" customWidth="1"/>
    <col min="11" max="11" width="15.28515625" customWidth="1"/>
    <col min="12" max="13" width="14.140625" customWidth="1"/>
    <col min="14" max="14" width="15.28515625" bestFit="1" customWidth="1"/>
    <col min="15" max="15" width="12.42578125" customWidth="1"/>
  </cols>
  <sheetData>
    <row r="6" spans="4:15" x14ac:dyDescent="0.25">
      <c r="I6" s="260" t="s">
        <v>742</v>
      </c>
    </row>
    <row r="7" spans="4:15" x14ac:dyDescent="0.25">
      <c r="I7" s="261">
        <f ca="1">TODAY()</f>
        <v>46086</v>
      </c>
    </row>
    <row r="10" spans="4:15" x14ac:dyDescent="0.25">
      <c r="H10" s="265">
        <f>SUM(Table1[Tender Amount in Cr])</f>
        <v>192.35362110000011</v>
      </c>
      <c r="I10" s="265">
        <f>SUM(Table1[Tender Amount])</f>
        <v>1923536211</v>
      </c>
    </row>
    <row r="11" spans="4:15" ht="54.95" customHeight="1" x14ac:dyDescent="0.25">
      <c r="D11" s="262" t="s">
        <v>740</v>
      </c>
      <c r="E11" s="263" t="s">
        <v>7</v>
      </c>
      <c r="F11" s="263" t="s">
        <v>2</v>
      </c>
      <c r="G11" s="263" t="s">
        <v>8</v>
      </c>
      <c r="H11" s="263" t="s">
        <v>741</v>
      </c>
      <c r="I11" s="263" t="s">
        <v>3</v>
      </c>
      <c r="J11" s="263" t="s">
        <v>6</v>
      </c>
      <c r="K11" s="263" t="s">
        <v>4</v>
      </c>
      <c r="L11" s="263" t="s">
        <v>5</v>
      </c>
      <c r="M11" s="263" t="s">
        <v>743</v>
      </c>
      <c r="N11" s="263" t="s">
        <v>0</v>
      </c>
      <c r="O11" s="264" t="s">
        <v>1</v>
      </c>
    </row>
    <row r="12" spans="4:15" ht="90" customHeight="1" x14ac:dyDescent="0.25">
      <c r="D12" s="257">
        <v>1</v>
      </c>
      <c r="E12" s="1" t="s">
        <v>15</v>
      </c>
      <c r="F12" s="1" t="s">
        <v>11</v>
      </c>
      <c r="G12" s="1" t="s">
        <v>14</v>
      </c>
      <c r="H12" s="1">
        <f>I12/10000000</f>
        <v>0.10929999999999999</v>
      </c>
      <c r="I12" s="1">
        <v>1093000</v>
      </c>
      <c r="J12" s="1">
        <v>22000</v>
      </c>
      <c r="K12" s="267">
        <v>46081</v>
      </c>
      <c r="L12" s="267">
        <v>46099</v>
      </c>
      <c r="M12" s="1" t="str">
        <f t="shared" ref="M12:M75" ca="1" si="0">IF(L12&lt;$I$7,"Closed",IF(L12&gt;$I$7,"Open",IF(L12=$I$7,"Closing Today","NA")))</f>
        <v>Open</v>
      </c>
      <c r="N12" s="2" t="s">
        <v>10</v>
      </c>
      <c r="O12" s="1" t="s">
        <v>9</v>
      </c>
    </row>
    <row r="13" spans="4:15" ht="70.5" customHeight="1" x14ac:dyDescent="0.25">
      <c r="D13" s="257">
        <v>2</v>
      </c>
      <c r="E13" s="1" t="s">
        <v>21</v>
      </c>
      <c r="F13" s="1" t="s">
        <v>18</v>
      </c>
      <c r="G13" s="1" t="s">
        <v>20</v>
      </c>
      <c r="H13" s="1">
        <f t="shared" ref="H13:H78" si="1">I13/10000000</f>
        <v>0.12</v>
      </c>
      <c r="I13" s="1">
        <f>J13*50</f>
        <v>1200000</v>
      </c>
      <c r="J13" s="1">
        <v>24000</v>
      </c>
      <c r="K13" s="267">
        <v>46081</v>
      </c>
      <c r="L13" s="267">
        <v>46098</v>
      </c>
      <c r="M13" s="1" t="str">
        <f t="shared" ca="1" si="0"/>
        <v>Open</v>
      </c>
      <c r="N13" s="3" t="s">
        <v>17</v>
      </c>
      <c r="O13" s="1" t="s">
        <v>16</v>
      </c>
    </row>
    <row r="14" spans="4:15" ht="67.5" customHeight="1" x14ac:dyDescent="0.25">
      <c r="D14" s="257">
        <v>3</v>
      </c>
      <c r="E14" s="1" t="s">
        <v>22</v>
      </c>
      <c r="F14" s="1" t="s">
        <v>18</v>
      </c>
      <c r="G14" s="1" t="s">
        <v>26</v>
      </c>
      <c r="H14" s="1">
        <f t="shared" si="1"/>
        <v>0.22500000000000001</v>
      </c>
      <c r="I14" s="1">
        <f>J14*50</f>
        <v>2250000</v>
      </c>
      <c r="J14" s="1">
        <v>45000</v>
      </c>
      <c r="K14" s="267">
        <v>46081</v>
      </c>
      <c r="L14" s="267">
        <v>46097</v>
      </c>
      <c r="M14" s="1" t="str">
        <f t="shared" ca="1" si="0"/>
        <v>Open</v>
      </c>
      <c r="N14" s="4" t="s">
        <v>24</v>
      </c>
      <c r="O14" s="1" t="s">
        <v>23</v>
      </c>
    </row>
    <row r="15" spans="4:15" ht="54.95" customHeight="1" x14ac:dyDescent="0.25">
      <c r="D15" s="257">
        <v>4</v>
      </c>
      <c r="E15" s="1" t="s">
        <v>31</v>
      </c>
      <c r="F15" s="1" t="s">
        <v>29</v>
      </c>
      <c r="G15" s="1" t="s">
        <v>30</v>
      </c>
      <c r="H15" s="1">
        <f t="shared" si="1"/>
        <v>0.17899999999999999</v>
      </c>
      <c r="I15" s="266">
        <f>J15*50</f>
        <v>1790000</v>
      </c>
      <c r="J15" s="1">
        <v>35800</v>
      </c>
      <c r="K15" s="267">
        <v>46081</v>
      </c>
      <c r="L15" s="267">
        <v>46097</v>
      </c>
      <c r="M15" s="1" t="str">
        <f t="shared" ca="1" si="0"/>
        <v>Open</v>
      </c>
      <c r="N15" s="5" t="s">
        <v>28</v>
      </c>
      <c r="O15" s="1" t="s">
        <v>27</v>
      </c>
    </row>
    <row r="16" spans="4:15" ht="54.95" customHeight="1" x14ac:dyDescent="0.25">
      <c r="D16" s="257">
        <v>5</v>
      </c>
      <c r="E16" s="1" t="s">
        <v>22</v>
      </c>
      <c r="F16" s="1" t="s">
        <v>18</v>
      </c>
      <c r="G16" s="1" t="s">
        <v>34</v>
      </c>
      <c r="H16" s="1">
        <f t="shared" si="1"/>
        <v>0.22500000000000001</v>
      </c>
      <c r="I16" s="1">
        <f t="shared" ref="I16:I21" si="2">J16*50</f>
        <v>2250000</v>
      </c>
      <c r="J16" s="1">
        <v>45000</v>
      </c>
      <c r="K16" s="267">
        <v>46081</v>
      </c>
      <c r="L16" s="267">
        <v>46097</v>
      </c>
      <c r="M16" s="1" t="str">
        <f t="shared" ca="1" si="0"/>
        <v>Open</v>
      </c>
      <c r="N16" s="6" t="s">
        <v>33</v>
      </c>
      <c r="O16" s="1" t="s">
        <v>32</v>
      </c>
    </row>
    <row r="17" spans="4:15" ht="54.95" customHeight="1" x14ac:dyDescent="0.25">
      <c r="D17" s="257">
        <v>6</v>
      </c>
      <c r="E17" s="1" t="s">
        <v>22</v>
      </c>
      <c r="F17" s="1" t="s">
        <v>18</v>
      </c>
      <c r="G17" s="1" t="s">
        <v>37</v>
      </c>
      <c r="H17" s="1">
        <f t="shared" si="1"/>
        <v>0.22500000000000001</v>
      </c>
      <c r="I17" s="1">
        <f t="shared" si="2"/>
        <v>2250000</v>
      </c>
      <c r="J17" s="1">
        <v>45000</v>
      </c>
      <c r="K17" s="267">
        <v>46081</v>
      </c>
      <c r="L17" s="267">
        <v>46097</v>
      </c>
      <c r="M17" s="1" t="str">
        <f t="shared" ca="1" si="0"/>
        <v>Open</v>
      </c>
      <c r="N17" s="7" t="s">
        <v>36</v>
      </c>
      <c r="O17" s="1" t="s">
        <v>35</v>
      </c>
    </row>
    <row r="18" spans="4:15" ht="54.95" customHeight="1" x14ac:dyDescent="0.25">
      <c r="D18" s="257">
        <v>7</v>
      </c>
      <c r="E18" s="1" t="s">
        <v>21</v>
      </c>
      <c r="F18" s="1" t="s">
        <v>18</v>
      </c>
      <c r="G18" s="1" t="s">
        <v>40</v>
      </c>
      <c r="H18" s="1">
        <f t="shared" si="1"/>
        <v>0.12</v>
      </c>
      <c r="I18" s="1">
        <f t="shared" si="2"/>
        <v>1200000</v>
      </c>
      <c r="J18" s="1">
        <v>24000</v>
      </c>
      <c r="K18" s="267">
        <v>46081</v>
      </c>
      <c r="L18" s="267">
        <v>46098</v>
      </c>
      <c r="M18" s="1" t="str">
        <f t="shared" ca="1" si="0"/>
        <v>Open</v>
      </c>
      <c r="N18" s="8" t="s">
        <v>39</v>
      </c>
      <c r="O18" s="1" t="s">
        <v>38</v>
      </c>
    </row>
    <row r="19" spans="4:15" ht="54.95" customHeight="1" x14ac:dyDescent="0.25">
      <c r="D19" s="257">
        <v>8</v>
      </c>
      <c r="E19" s="1" t="s">
        <v>21</v>
      </c>
      <c r="F19" s="1" t="s">
        <v>18</v>
      </c>
      <c r="G19" s="1" t="s">
        <v>42</v>
      </c>
      <c r="H19" s="1">
        <f t="shared" si="1"/>
        <v>0.12</v>
      </c>
      <c r="I19" s="1">
        <f t="shared" si="2"/>
        <v>1200000</v>
      </c>
      <c r="J19" s="1">
        <v>24000</v>
      </c>
      <c r="K19" s="267">
        <v>46081</v>
      </c>
      <c r="L19" s="267">
        <v>46098</v>
      </c>
      <c r="M19" s="1" t="str">
        <f t="shared" ca="1" si="0"/>
        <v>Open</v>
      </c>
      <c r="N19" s="9" t="s">
        <v>41</v>
      </c>
      <c r="O19" s="1" t="s">
        <v>38</v>
      </c>
    </row>
    <row r="20" spans="4:15" ht="54.95" customHeight="1" x14ac:dyDescent="0.25">
      <c r="D20" s="257">
        <v>9</v>
      </c>
      <c r="E20" s="1" t="s">
        <v>21</v>
      </c>
      <c r="F20" s="1" t="s">
        <v>18</v>
      </c>
      <c r="G20" s="1" t="s">
        <v>45</v>
      </c>
      <c r="H20" s="1">
        <f t="shared" si="1"/>
        <v>0.12</v>
      </c>
      <c r="I20" s="1">
        <f t="shared" si="2"/>
        <v>1200000</v>
      </c>
      <c r="J20" s="1">
        <v>24000</v>
      </c>
      <c r="K20" s="267">
        <v>46081</v>
      </c>
      <c r="L20" s="267">
        <v>46098</v>
      </c>
      <c r="M20" s="1" t="str">
        <f t="shared" ca="1" si="0"/>
        <v>Open</v>
      </c>
      <c r="N20" s="10" t="s">
        <v>44</v>
      </c>
      <c r="O20" s="1" t="s">
        <v>43</v>
      </c>
    </row>
    <row r="21" spans="4:15" ht="54.95" customHeight="1" x14ac:dyDescent="0.25">
      <c r="D21" s="257">
        <v>10</v>
      </c>
      <c r="E21" s="1" t="s">
        <v>21</v>
      </c>
      <c r="F21" s="1" t="s">
        <v>18</v>
      </c>
      <c r="G21" s="1" t="s">
        <v>47</v>
      </c>
      <c r="H21" s="1">
        <f t="shared" si="1"/>
        <v>0.12</v>
      </c>
      <c r="I21" s="1">
        <f t="shared" si="2"/>
        <v>1200000</v>
      </c>
      <c r="J21" s="1">
        <v>24000</v>
      </c>
      <c r="K21" s="267">
        <v>46081</v>
      </c>
      <c r="L21" s="267">
        <v>46098</v>
      </c>
      <c r="M21" s="1" t="str">
        <f t="shared" ca="1" si="0"/>
        <v>Open</v>
      </c>
      <c r="N21" s="11" t="s">
        <v>46</v>
      </c>
      <c r="O21" s="1" t="s">
        <v>43</v>
      </c>
    </row>
    <row r="22" spans="4:15" ht="54.95" customHeight="1" x14ac:dyDescent="0.25">
      <c r="D22" s="257">
        <v>11</v>
      </c>
      <c r="E22" s="1" t="s">
        <v>31</v>
      </c>
      <c r="F22" s="1" t="s">
        <v>29</v>
      </c>
      <c r="G22" s="1" t="s">
        <v>49</v>
      </c>
      <c r="H22" s="1">
        <f t="shared" si="1"/>
        <v>0.17899999999999999</v>
      </c>
      <c r="I22" s="266">
        <f>J22*50</f>
        <v>1790000</v>
      </c>
      <c r="J22" s="1">
        <v>35800</v>
      </c>
      <c r="K22" s="267">
        <v>46081</v>
      </c>
      <c r="L22" s="267">
        <v>46097</v>
      </c>
      <c r="M22" s="1" t="str">
        <f t="shared" ca="1" si="0"/>
        <v>Open</v>
      </c>
      <c r="N22" s="12" t="s">
        <v>48</v>
      </c>
      <c r="O22" s="1" t="s">
        <v>27</v>
      </c>
    </row>
    <row r="23" spans="4:15" ht="54.95" customHeight="1" x14ac:dyDescent="0.25">
      <c r="D23" s="257">
        <v>12</v>
      </c>
      <c r="E23" s="1" t="s">
        <v>54</v>
      </c>
      <c r="F23" s="1" t="s">
        <v>52</v>
      </c>
      <c r="G23" s="1" t="s">
        <v>53</v>
      </c>
      <c r="H23" s="1">
        <f t="shared" si="1"/>
        <v>0.18</v>
      </c>
      <c r="I23" s="1">
        <f t="shared" ref="I23:I24" si="3">J23*50</f>
        <v>1800000</v>
      </c>
      <c r="J23" s="1">
        <v>36000</v>
      </c>
      <c r="K23" s="267">
        <v>46081</v>
      </c>
      <c r="L23" s="267">
        <v>46098</v>
      </c>
      <c r="M23" s="1" t="str">
        <f t="shared" ca="1" si="0"/>
        <v>Open</v>
      </c>
      <c r="N23" s="13" t="s">
        <v>51</v>
      </c>
      <c r="O23" s="1" t="s">
        <v>50</v>
      </c>
    </row>
    <row r="24" spans="4:15" ht="54.95" customHeight="1" x14ac:dyDescent="0.25">
      <c r="D24" s="257">
        <v>13</v>
      </c>
      <c r="E24" s="1" t="s">
        <v>15</v>
      </c>
      <c r="F24" s="1" t="s">
        <v>57</v>
      </c>
      <c r="G24" s="1" t="s">
        <v>58</v>
      </c>
      <c r="H24" s="1">
        <f t="shared" si="1"/>
        <v>0.375</v>
      </c>
      <c r="I24" s="1">
        <f t="shared" si="3"/>
        <v>3750000</v>
      </c>
      <c r="J24" s="1">
        <v>75000</v>
      </c>
      <c r="K24" s="267">
        <v>46081</v>
      </c>
      <c r="L24" s="267">
        <v>46098</v>
      </c>
      <c r="M24" s="1" t="str">
        <f t="shared" ca="1" si="0"/>
        <v>Open</v>
      </c>
      <c r="N24" s="14" t="s">
        <v>56</v>
      </c>
      <c r="O24" s="1" t="s">
        <v>55</v>
      </c>
    </row>
    <row r="25" spans="4:15" ht="54.95" customHeight="1" x14ac:dyDescent="0.25">
      <c r="D25" s="257">
        <v>14</v>
      </c>
      <c r="E25" s="1" t="s">
        <v>15</v>
      </c>
      <c r="F25" s="1" t="s">
        <v>11</v>
      </c>
      <c r="G25" s="1" t="s">
        <v>60</v>
      </c>
      <c r="H25" s="1">
        <f t="shared" si="1"/>
        <v>0.13220000000000001</v>
      </c>
      <c r="I25" s="1">
        <v>1322000</v>
      </c>
      <c r="J25" s="1">
        <v>26000</v>
      </c>
      <c r="K25" s="267">
        <v>46081</v>
      </c>
      <c r="L25" s="267">
        <v>46099</v>
      </c>
      <c r="M25" s="1" t="str">
        <f t="shared" ca="1" si="0"/>
        <v>Open</v>
      </c>
      <c r="N25" s="15" t="s">
        <v>59</v>
      </c>
      <c r="O25" s="1" t="s">
        <v>9</v>
      </c>
    </row>
    <row r="26" spans="4:15" ht="54.95" customHeight="1" x14ac:dyDescent="0.25">
      <c r="D26" s="257">
        <v>15</v>
      </c>
      <c r="E26" s="1" t="s">
        <v>65</v>
      </c>
      <c r="F26" s="1" t="s">
        <v>63</v>
      </c>
      <c r="G26" s="1" t="s">
        <v>64</v>
      </c>
      <c r="H26" s="1">
        <f t="shared" si="1"/>
        <v>8.8300000000000003E-2</v>
      </c>
      <c r="I26" s="1">
        <v>883000</v>
      </c>
      <c r="J26" s="1">
        <f>I26*2%</f>
        <v>17660</v>
      </c>
      <c r="K26" s="267">
        <v>46081</v>
      </c>
      <c r="L26" s="267">
        <v>46097</v>
      </c>
      <c r="M26" s="1" t="str">
        <f t="shared" ca="1" si="0"/>
        <v>Open</v>
      </c>
      <c r="N26" s="16" t="s">
        <v>62</v>
      </c>
      <c r="O26" s="1" t="s">
        <v>61</v>
      </c>
    </row>
    <row r="27" spans="4:15" ht="54.95" customHeight="1" x14ac:dyDescent="0.25">
      <c r="D27" s="257">
        <v>16</v>
      </c>
      <c r="E27" s="1" t="s">
        <v>21</v>
      </c>
      <c r="F27" s="1" t="s">
        <v>18</v>
      </c>
      <c r="G27" s="1" t="s">
        <v>68</v>
      </c>
      <c r="H27" s="1">
        <f t="shared" si="1"/>
        <v>0.12</v>
      </c>
      <c r="I27" s="1">
        <f t="shared" ref="I27:I32" si="4">J27*50</f>
        <v>1200000</v>
      </c>
      <c r="J27" s="1">
        <v>24000</v>
      </c>
      <c r="K27" s="267">
        <v>46081</v>
      </c>
      <c r="L27" s="267">
        <v>46098</v>
      </c>
      <c r="M27" s="1" t="str">
        <f t="shared" ca="1" si="0"/>
        <v>Open</v>
      </c>
      <c r="N27" s="17" t="s">
        <v>67</v>
      </c>
      <c r="O27" s="1" t="s">
        <v>66</v>
      </c>
    </row>
    <row r="28" spans="4:15" ht="54.95" customHeight="1" x14ac:dyDescent="0.25">
      <c r="D28" s="257">
        <v>17</v>
      </c>
      <c r="E28" s="1" t="s">
        <v>72</v>
      </c>
      <c r="F28" s="1" t="s">
        <v>29</v>
      </c>
      <c r="G28" s="1" t="s">
        <v>71</v>
      </c>
      <c r="H28" s="1">
        <f t="shared" si="1"/>
        <v>0.05</v>
      </c>
      <c r="I28" s="1">
        <f t="shared" si="4"/>
        <v>500000</v>
      </c>
      <c r="J28" s="1">
        <v>10000</v>
      </c>
      <c r="K28" s="267">
        <v>46081</v>
      </c>
      <c r="L28" s="267">
        <v>46098</v>
      </c>
      <c r="M28" s="1" t="str">
        <f t="shared" ca="1" si="0"/>
        <v>Open</v>
      </c>
      <c r="N28" s="18" t="s">
        <v>70</v>
      </c>
      <c r="O28" s="1" t="s">
        <v>69</v>
      </c>
    </row>
    <row r="29" spans="4:15" ht="54.95" customHeight="1" x14ac:dyDescent="0.25">
      <c r="D29" s="257">
        <v>18</v>
      </c>
      <c r="E29" s="1" t="s">
        <v>72</v>
      </c>
      <c r="F29" s="1" t="s">
        <v>29</v>
      </c>
      <c r="G29" s="1" t="s">
        <v>75</v>
      </c>
      <c r="H29" s="1">
        <f t="shared" si="1"/>
        <v>0.05</v>
      </c>
      <c r="I29" s="1">
        <f t="shared" si="4"/>
        <v>500000</v>
      </c>
      <c r="J29" s="1">
        <v>10000</v>
      </c>
      <c r="K29" s="267">
        <v>46081</v>
      </c>
      <c r="L29" s="267">
        <v>46098</v>
      </c>
      <c r="M29" s="1" t="str">
        <f t="shared" ca="1" si="0"/>
        <v>Open</v>
      </c>
      <c r="N29" s="19" t="s">
        <v>74</v>
      </c>
      <c r="O29" s="1" t="s">
        <v>73</v>
      </c>
    </row>
    <row r="30" spans="4:15" ht="54.95" customHeight="1" x14ac:dyDescent="0.25">
      <c r="D30" s="257">
        <v>19</v>
      </c>
      <c r="E30" s="1" t="s">
        <v>21</v>
      </c>
      <c r="F30" s="1" t="s">
        <v>18</v>
      </c>
      <c r="G30" s="1" t="s">
        <v>77</v>
      </c>
      <c r="H30" s="1">
        <f t="shared" si="1"/>
        <v>0.12</v>
      </c>
      <c r="I30" s="1">
        <f t="shared" si="4"/>
        <v>1200000</v>
      </c>
      <c r="J30" s="1">
        <v>24000</v>
      </c>
      <c r="K30" s="267">
        <v>46081</v>
      </c>
      <c r="L30" s="267">
        <v>46098</v>
      </c>
      <c r="M30" s="1" t="str">
        <f t="shared" ca="1" si="0"/>
        <v>Open</v>
      </c>
      <c r="N30" s="20" t="s">
        <v>76</v>
      </c>
      <c r="O30" s="1" t="s">
        <v>16</v>
      </c>
    </row>
    <row r="31" spans="4:15" ht="54.95" customHeight="1" x14ac:dyDescent="0.25">
      <c r="D31" s="257">
        <v>20</v>
      </c>
      <c r="E31" s="1" t="s">
        <v>72</v>
      </c>
      <c r="F31" s="1" t="s">
        <v>29</v>
      </c>
      <c r="G31" s="1" t="s">
        <v>80</v>
      </c>
      <c r="H31" s="1">
        <f t="shared" si="1"/>
        <v>0.05</v>
      </c>
      <c r="I31" s="1">
        <f t="shared" si="4"/>
        <v>500000</v>
      </c>
      <c r="J31" s="1">
        <v>10000</v>
      </c>
      <c r="K31" s="267">
        <v>46081</v>
      </c>
      <c r="L31" s="267">
        <v>46098</v>
      </c>
      <c r="M31" s="1" t="str">
        <f t="shared" ca="1" si="0"/>
        <v>Open</v>
      </c>
      <c r="N31" s="21" t="s">
        <v>79</v>
      </c>
      <c r="O31" s="1" t="s">
        <v>78</v>
      </c>
    </row>
    <row r="32" spans="4:15" ht="54.95" customHeight="1" x14ac:dyDescent="0.25">
      <c r="D32" s="257">
        <v>21</v>
      </c>
      <c r="E32" s="1" t="s">
        <v>21</v>
      </c>
      <c r="F32" s="1" t="s">
        <v>18</v>
      </c>
      <c r="G32" s="1" t="s">
        <v>82</v>
      </c>
      <c r="H32" s="1">
        <f t="shared" si="1"/>
        <v>0.12</v>
      </c>
      <c r="I32" s="1">
        <f t="shared" si="4"/>
        <v>1200000</v>
      </c>
      <c r="J32" s="1">
        <v>24000</v>
      </c>
      <c r="K32" s="267">
        <v>46081</v>
      </c>
      <c r="L32" s="267">
        <v>46098</v>
      </c>
      <c r="M32" s="1" t="str">
        <f t="shared" ca="1" si="0"/>
        <v>Open</v>
      </c>
      <c r="N32" s="22" t="s">
        <v>81</v>
      </c>
      <c r="O32" s="1" t="s">
        <v>66</v>
      </c>
    </row>
    <row r="33" spans="4:15" ht="54.95" customHeight="1" x14ac:dyDescent="0.25">
      <c r="D33" s="257">
        <v>22</v>
      </c>
      <c r="E33" s="1" t="s">
        <v>65</v>
      </c>
      <c r="F33" s="1" t="s">
        <v>63</v>
      </c>
      <c r="G33" s="1" t="s">
        <v>85</v>
      </c>
      <c r="H33" s="1">
        <f t="shared" si="1"/>
        <v>8.8300000000000003E-2</v>
      </c>
      <c r="I33" s="1">
        <v>883000</v>
      </c>
      <c r="J33" s="1">
        <f>I33*2%</f>
        <v>17660</v>
      </c>
      <c r="K33" s="267">
        <v>46081</v>
      </c>
      <c r="L33" s="267">
        <v>46097</v>
      </c>
      <c r="M33" s="1" t="str">
        <f t="shared" ca="1" si="0"/>
        <v>Open</v>
      </c>
      <c r="N33" s="23" t="s">
        <v>84</v>
      </c>
      <c r="O33" s="1" t="s">
        <v>83</v>
      </c>
    </row>
    <row r="34" spans="4:15" ht="54.95" customHeight="1" x14ac:dyDescent="0.25">
      <c r="D34" s="257">
        <v>23</v>
      </c>
      <c r="E34" s="1" t="s">
        <v>54</v>
      </c>
      <c r="F34" s="1" t="s">
        <v>88</v>
      </c>
      <c r="G34" s="1" t="s">
        <v>90</v>
      </c>
      <c r="H34" s="1">
        <f t="shared" si="1"/>
        <v>0</v>
      </c>
      <c r="I34" s="1">
        <v>0</v>
      </c>
      <c r="J34" s="1">
        <v>0</v>
      </c>
      <c r="K34" s="267">
        <v>46081</v>
      </c>
      <c r="L34" s="267">
        <v>46093</v>
      </c>
      <c r="M34" s="1" t="str">
        <f t="shared" ca="1" si="0"/>
        <v>Open</v>
      </c>
      <c r="N34" s="24" t="s">
        <v>87</v>
      </c>
      <c r="O34" s="1" t="s">
        <v>86</v>
      </c>
    </row>
    <row r="35" spans="4:15" ht="54.95" customHeight="1" x14ac:dyDescent="0.25">
      <c r="D35" s="257">
        <v>24</v>
      </c>
      <c r="E35" s="1" t="s">
        <v>22</v>
      </c>
      <c r="F35" s="1" t="s">
        <v>88</v>
      </c>
      <c r="G35" s="1" t="s">
        <v>95</v>
      </c>
      <c r="H35" s="1">
        <f t="shared" si="1"/>
        <v>0</v>
      </c>
      <c r="I35" s="1">
        <v>0</v>
      </c>
      <c r="J35" s="1">
        <v>0</v>
      </c>
      <c r="K35" s="267">
        <v>46080</v>
      </c>
      <c r="L35" s="267">
        <v>46091</v>
      </c>
      <c r="M35" s="1" t="str">
        <f t="shared" ca="1" si="0"/>
        <v>Open</v>
      </c>
      <c r="N35" s="25" t="s">
        <v>92</v>
      </c>
      <c r="O35" s="1" t="s">
        <v>91</v>
      </c>
    </row>
    <row r="36" spans="4:15" ht="54.95" customHeight="1" x14ac:dyDescent="0.25">
      <c r="D36" s="257">
        <v>25</v>
      </c>
      <c r="E36" s="1" t="s">
        <v>22</v>
      </c>
      <c r="F36" s="1" t="s">
        <v>18</v>
      </c>
      <c r="G36" s="1" t="s">
        <v>97</v>
      </c>
      <c r="H36" s="1">
        <f t="shared" si="1"/>
        <v>0.22</v>
      </c>
      <c r="I36" s="1">
        <f t="shared" ref="I36:I37" si="5">J36*50</f>
        <v>2200000</v>
      </c>
      <c r="J36" s="1">
        <v>44000</v>
      </c>
      <c r="K36" s="267">
        <v>46080</v>
      </c>
      <c r="L36" s="267">
        <v>46098</v>
      </c>
      <c r="M36" s="1" t="str">
        <f t="shared" ca="1" si="0"/>
        <v>Open</v>
      </c>
      <c r="N36" s="26" t="s">
        <v>96</v>
      </c>
      <c r="O36" s="1" t="s">
        <v>23</v>
      </c>
    </row>
    <row r="37" spans="4:15" ht="54.95" customHeight="1" x14ac:dyDescent="0.25">
      <c r="D37" s="257">
        <v>26</v>
      </c>
      <c r="E37" s="1" t="s">
        <v>101</v>
      </c>
      <c r="F37" s="1" t="s">
        <v>18</v>
      </c>
      <c r="G37" s="1" t="s">
        <v>100</v>
      </c>
      <c r="H37" s="1">
        <f t="shared" si="1"/>
        <v>0.22500000000000001</v>
      </c>
      <c r="I37" s="1">
        <f t="shared" si="5"/>
        <v>2250000</v>
      </c>
      <c r="J37" s="1">
        <v>45000</v>
      </c>
      <c r="K37" s="267">
        <v>46080</v>
      </c>
      <c r="L37" s="267">
        <v>46099</v>
      </c>
      <c r="M37" s="1" t="str">
        <f t="shared" ca="1" si="0"/>
        <v>Open</v>
      </c>
      <c r="N37" s="27" t="s">
        <v>99</v>
      </c>
      <c r="O37" s="1" t="s">
        <v>98</v>
      </c>
    </row>
    <row r="38" spans="4:15" ht="54.95" customHeight="1" x14ac:dyDescent="0.25">
      <c r="D38" s="257">
        <v>27</v>
      </c>
      <c r="E38" s="1" t="s">
        <v>101</v>
      </c>
      <c r="F38" s="1" t="s">
        <v>18</v>
      </c>
      <c r="G38" s="1" t="s">
        <v>104</v>
      </c>
      <c r="H38" s="1">
        <f t="shared" si="1"/>
        <v>0</v>
      </c>
      <c r="I38" s="1">
        <v>0</v>
      </c>
      <c r="J38" s="1">
        <v>0</v>
      </c>
      <c r="K38" s="267">
        <v>46080</v>
      </c>
      <c r="L38" s="267">
        <v>46093</v>
      </c>
      <c r="M38" s="1" t="str">
        <f t="shared" ca="1" si="0"/>
        <v>Open</v>
      </c>
      <c r="N38" s="28" t="s">
        <v>103</v>
      </c>
      <c r="O38" s="1" t="s">
        <v>102</v>
      </c>
    </row>
    <row r="39" spans="4:15" ht="54.95" customHeight="1" x14ac:dyDescent="0.25">
      <c r="D39" s="257">
        <v>28</v>
      </c>
      <c r="E39" s="1" t="s">
        <v>101</v>
      </c>
      <c r="F39" s="1" t="s">
        <v>18</v>
      </c>
      <c r="G39" s="1" t="s">
        <v>107</v>
      </c>
      <c r="H39" s="1">
        <f t="shared" si="1"/>
        <v>0.22500000000000001</v>
      </c>
      <c r="I39" s="1">
        <f t="shared" ref="I39:I42" si="6">J39*50</f>
        <v>2250000</v>
      </c>
      <c r="J39" s="1">
        <v>45000</v>
      </c>
      <c r="K39" s="267">
        <v>46080</v>
      </c>
      <c r="L39" s="267">
        <v>46099</v>
      </c>
      <c r="M39" s="1" t="str">
        <f t="shared" ca="1" si="0"/>
        <v>Open</v>
      </c>
      <c r="N39" s="29" t="s">
        <v>106</v>
      </c>
      <c r="O39" s="1" t="s">
        <v>105</v>
      </c>
    </row>
    <row r="40" spans="4:15" ht="54.95" customHeight="1" x14ac:dyDescent="0.25">
      <c r="D40" s="257">
        <v>29</v>
      </c>
      <c r="E40" s="1" t="s">
        <v>72</v>
      </c>
      <c r="F40" s="1" t="s">
        <v>29</v>
      </c>
      <c r="G40" s="1" t="s">
        <v>112</v>
      </c>
      <c r="H40" s="1">
        <f t="shared" si="1"/>
        <v>0.15</v>
      </c>
      <c r="I40" s="1">
        <f t="shared" si="6"/>
        <v>1500000</v>
      </c>
      <c r="J40" s="1">
        <v>30000</v>
      </c>
      <c r="K40" s="267">
        <v>46079</v>
      </c>
      <c r="L40" s="267">
        <v>46092</v>
      </c>
      <c r="M40" s="1" t="str">
        <f t="shared" ca="1" si="0"/>
        <v>Open</v>
      </c>
      <c r="N40" s="30" t="s">
        <v>109</v>
      </c>
      <c r="O40" s="1" t="s">
        <v>108</v>
      </c>
    </row>
    <row r="41" spans="4:15" ht="54.95" customHeight="1" x14ac:dyDescent="0.25">
      <c r="D41" s="257">
        <v>30</v>
      </c>
      <c r="E41" s="1" t="s">
        <v>15</v>
      </c>
      <c r="F41" s="1" t="s">
        <v>18</v>
      </c>
      <c r="G41" s="1" t="s">
        <v>115</v>
      </c>
      <c r="H41" s="1">
        <f t="shared" si="1"/>
        <v>4.65E-2</v>
      </c>
      <c r="I41" s="1">
        <f t="shared" si="6"/>
        <v>465000</v>
      </c>
      <c r="J41" s="1">
        <v>9300</v>
      </c>
      <c r="K41" s="267">
        <v>46080</v>
      </c>
      <c r="L41" s="267">
        <v>46097</v>
      </c>
      <c r="M41" s="1" t="str">
        <f t="shared" ca="1" si="0"/>
        <v>Open</v>
      </c>
      <c r="N41" s="31" t="s">
        <v>114</v>
      </c>
      <c r="O41" s="1" t="s">
        <v>113</v>
      </c>
    </row>
    <row r="42" spans="4:15" ht="54.95" customHeight="1" x14ac:dyDescent="0.25">
      <c r="D42" s="257">
        <v>31</v>
      </c>
      <c r="E42" s="1" t="s">
        <v>22</v>
      </c>
      <c r="F42" s="1" t="s">
        <v>18</v>
      </c>
      <c r="G42" s="1" t="s">
        <v>97</v>
      </c>
      <c r="H42" s="1">
        <f t="shared" si="1"/>
        <v>0.22</v>
      </c>
      <c r="I42" s="1">
        <f t="shared" si="6"/>
        <v>2200000</v>
      </c>
      <c r="J42" s="1">
        <v>44000</v>
      </c>
      <c r="K42" s="267">
        <v>46080</v>
      </c>
      <c r="L42" s="267">
        <v>46098</v>
      </c>
      <c r="M42" s="1" t="str">
        <f t="shared" ca="1" si="0"/>
        <v>Open</v>
      </c>
      <c r="N42" s="32" t="s">
        <v>117</v>
      </c>
      <c r="O42" s="1" t="s">
        <v>116</v>
      </c>
    </row>
    <row r="43" spans="4:15" ht="54.95" customHeight="1" x14ac:dyDescent="0.25">
      <c r="D43" s="257">
        <v>32</v>
      </c>
      <c r="E43" s="1" t="s">
        <v>101</v>
      </c>
      <c r="F43" s="1" t="s">
        <v>18</v>
      </c>
      <c r="G43" s="1" t="s">
        <v>120</v>
      </c>
      <c r="H43" s="1">
        <f t="shared" si="1"/>
        <v>0</v>
      </c>
      <c r="I43" s="1">
        <v>0</v>
      </c>
      <c r="J43" s="1">
        <v>0</v>
      </c>
      <c r="K43" s="267">
        <v>46080</v>
      </c>
      <c r="L43" s="267">
        <v>46093</v>
      </c>
      <c r="M43" s="1" t="str">
        <f t="shared" ca="1" si="0"/>
        <v>Open</v>
      </c>
      <c r="N43" s="33" t="s">
        <v>119</v>
      </c>
      <c r="O43" s="1" t="s">
        <v>118</v>
      </c>
    </row>
    <row r="44" spans="4:15" ht="54.95" customHeight="1" x14ac:dyDescent="0.25">
      <c r="D44" s="257">
        <v>33</v>
      </c>
      <c r="E44" s="1" t="s">
        <v>22</v>
      </c>
      <c r="F44" s="1" t="s">
        <v>18</v>
      </c>
      <c r="G44" s="1" t="s">
        <v>97</v>
      </c>
      <c r="H44" s="1">
        <f t="shared" si="1"/>
        <v>0.09</v>
      </c>
      <c r="I44" s="1">
        <f>J44*50</f>
        <v>900000</v>
      </c>
      <c r="J44" s="1">
        <v>18000</v>
      </c>
      <c r="K44" s="267">
        <v>46080</v>
      </c>
      <c r="L44" s="267">
        <v>46098</v>
      </c>
      <c r="M44" s="1" t="str">
        <f t="shared" ca="1" si="0"/>
        <v>Open</v>
      </c>
      <c r="N44" s="34" t="s">
        <v>121</v>
      </c>
      <c r="O44" s="1" t="s">
        <v>35</v>
      </c>
    </row>
    <row r="45" spans="4:15" ht="54.95" customHeight="1" x14ac:dyDescent="0.25">
      <c r="D45" s="257">
        <v>34</v>
      </c>
      <c r="E45" s="1" t="s">
        <v>125</v>
      </c>
      <c r="F45" s="1" t="s">
        <v>18</v>
      </c>
      <c r="G45" s="1" t="s">
        <v>124</v>
      </c>
      <c r="H45" s="1">
        <f t="shared" si="1"/>
        <v>0</v>
      </c>
      <c r="I45" s="1">
        <v>0</v>
      </c>
      <c r="J45" s="1">
        <v>0</v>
      </c>
      <c r="K45" s="267">
        <v>46080</v>
      </c>
      <c r="L45" s="267">
        <v>46097</v>
      </c>
      <c r="M45" s="1" t="str">
        <f t="shared" ca="1" si="0"/>
        <v>Open</v>
      </c>
      <c r="N45" s="35" t="s">
        <v>123</v>
      </c>
      <c r="O45" s="1" t="s">
        <v>122</v>
      </c>
    </row>
    <row r="46" spans="4:15" ht="54.95" customHeight="1" x14ac:dyDescent="0.25">
      <c r="D46" s="257">
        <v>35</v>
      </c>
      <c r="E46" s="1" t="s">
        <v>54</v>
      </c>
      <c r="F46" s="1" t="s">
        <v>63</v>
      </c>
      <c r="G46" s="1" t="s">
        <v>129</v>
      </c>
      <c r="H46" s="1">
        <f t="shared" si="1"/>
        <v>8.7499999999999994E-2</v>
      </c>
      <c r="I46" s="1">
        <v>875000</v>
      </c>
      <c r="J46" s="1">
        <f>I46*2%</f>
        <v>17500</v>
      </c>
      <c r="K46" s="267">
        <v>46081</v>
      </c>
      <c r="L46" s="267">
        <v>46104</v>
      </c>
      <c r="M46" s="1" t="str">
        <f t="shared" ca="1" si="0"/>
        <v>Open</v>
      </c>
      <c r="N46" s="36" t="s">
        <v>127</v>
      </c>
      <c r="O46" s="1" t="s">
        <v>126</v>
      </c>
    </row>
    <row r="47" spans="4:15" ht="54.95" customHeight="1" x14ac:dyDescent="0.25">
      <c r="D47" s="257">
        <v>36</v>
      </c>
      <c r="E47" s="1" t="s">
        <v>125</v>
      </c>
      <c r="F47" s="1" t="s">
        <v>18</v>
      </c>
      <c r="G47" s="1" t="s">
        <v>132</v>
      </c>
      <c r="H47" s="1">
        <f t="shared" si="1"/>
        <v>0</v>
      </c>
      <c r="I47" s="1">
        <v>0</v>
      </c>
      <c r="J47" s="1">
        <v>0</v>
      </c>
      <c r="K47" s="267">
        <v>46080</v>
      </c>
      <c r="L47" s="267">
        <v>46097</v>
      </c>
      <c r="M47" s="1" t="str">
        <f t="shared" ca="1" si="0"/>
        <v>Open</v>
      </c>
      <c r="N47" s="37" t="s">
        <v>131</v>
      </c>
      <c r="O47" s="1" t="s">
        <v>130</v>
      </c>
    </row>
    <row r="48" spans="4:15" ht="54.95" customHeight="1" x14ac:dyDescent="0.25">
      <c r="D48" s="257">
        <v>37</v>
      </c>
      <c r="E48" s="1" t="s">
        <v>54</v>
      </c>
      <c r="F48" s="1" t="s">
        <v>63</v>
      </c>
      <c r="G48" s="1" t="s">
        <v>136</v>
      </c>
      <c r="H48" s="1">
        <f t="shared" si="1"/>
        <v>8.3199999999999996E-2</v>
      </c>
      <c r="I48" s="1">
        <v>832000</v>
      </c>
      <c r="J48" s="1">
        <f>I48*2%</f>
        <v>16640</v>
      </c>
      <c r="K48" s="267">
        <v>46080</v>
      </c>
      <c r="L48" s="267">
        <v>46101</v>
      </c>
      <c r="M48" s="1" t="str">
        <f t="shared" ca="1" si="0"/>
        <v>Open</v>
      </c>
      <c r="N48" s="38" t="s">
        <v>134</v>
      </c>
      <c r="O48" s="1" t="s">
        <v>133</v>
      </c>
    </row>
    <row r="49" spans="4:15" ht="54.95" customHeight="1" x14ac:dyDescent="0.25">
      <c r="D49" s="257">
        <v>38</v>
      </c>
      <c r="E49" s="1" t="s">
        <v>141</v>
      </c>
      <c r="F49" s="1" t="s">
        <v>139</v>
      </c>
      <c r="G49" s="1" t="s">
        <v>140</v>
      </c>
      <c r="H49" s="1">
        <f t="shared" si="1"/>
        <v>0</v>
      </c>
      <c r="I49" s="1">
        <v>0</v>
      </c>
      <c r="J49" s="1">
        <v>0</v>
      </c>
      <c r="K49" s="267">
        <v>46080</v>
      </c>
      <c r="L49" s="267">
        <v>46098</v>
      </c>
      <c r="M49" s="1" t="str">
        <f t="shared" ca="1" si="0"/>
        <v>Open</v>
      </c>
      <c r="N49" s="39" t="s">
        <v>138</v>
      </c>
      <c r="O49" s="1" t="s">
        <v>137</v>
      </c>
    </row>
    <row r="50" spans="4:15" ht="54.95" customHeight="1" x14ac:dyDescent="0.25">
      <c r="D50" s="257">
        <v>39</v>
      </c>
      <c r="E50" s="1" t="s">
        <v>147</v>
      </c>
      <c r="F50" s="1" t="s">
        <v>144</v>
      </c>
      <c r="G50" s="1" t="s">
        <v>146</v>
      </c>
      <c r="H50" s="1">
        <f t="shared" si="1"/>
        <v>0.1</v>
      </c>
      <c r="I50" s="1">
        <v>1000000</v>
      </c>
      <c r="J50" s="1">
        <v>30000</v>
      </c>
      <c r="K50" s="267">
        <v>46080</v>
      </c>
      <c r="L50" s="267">
        <v>46095</v>
      </c>
      <c r="M50" s="1" t="str">
        <f t="shared" ca="1" si="0"/>
        <v>Open</v>
      </c>
      <c r="N50" s="40" t="s">
        <v>143</v>
      </c>
      <c r="O50" s="1" t="s">
        <v>142</v>
      </c>
    </row>
    <row r="51" spans="4:15" ht="54.95" customHeight="1" x14ac:dyDescent="0.25">
      <c r="D51" s="257">
        <v>40</v>
      </c>
      <c r="E51" s="1" t="s">
        <v>54</v>
      </c>
      <c r="F51" s="1" t="s">
        <v>63</v>
      </c>
      <c r="G51" s="1" t="s">
        <v>150</v>
      </c>
      <c r="H51" s="1">
        <f t="shared" si="1"/>
        <v>8.3199999999999996E-2</v>
      </c>
      <c r="I51" s="1">
        <v>832000</v>
      </c>
      <c r="J51" s="1">
        <f>I51*2%</f>
        <v>16640</v>
      </c>
      <c r="K51" s="267">
        <v>46080</v>
      </c>
      <c r="L51" s="267">
        <v>46101</v>
      </c>
      <c r="M51" s="1" t="str">
        <f t="shared" ca="1" si="0"/>
        <v>Open</v>
      </c>
      <c r="N51" s="41" t="s">
        <v>149</v>
      </c>
      <c r="O51" s="1" t="s">
        <v>148</v>
      </c>
    </row>
    <row r="52" spans="4:15" ht="54.95" customHeight="1" x14ac:dyDescent="0.25">
      <c r="D52" s="257">
        <v>41</v>
      </c>
      <c r="E52" s="1" t="s">
        <v>141</v>
      </c>
      <c r="F52" s="1" t="s">
        <v>153</v>
      </c>
      <c r="G52" s="1" t="s">
        <v>154</v>
      </c>
      <c r="H52" s="1">
        <f t="shared" si="1"/>
        <v>7.4999999999999997E-2</v>
      </c>
      <c r="I52" s="1">
        <f>J52*50</f>
        <v>750000</v>
      </c>
      <c r="J52" s="1">
        <v>15000</v>
      </c>
      <c r="K52" s="267">
        <v>46079</v>
      </c>
      <c r="L52" s="267">
        <v>46097</v>
      </c>
      <c r="M52" s="1" t="str">
        <f t="shared" ca="1" si="0"/>
        <v>Open</v>
      </c>
      <c r="N52" s="42" t="s">
        <v>152</v>
      </c>
      <c r="O52" s="1" t="s">
        <v>151</v>
      </c>
    </row>
    <row r="53" spans="4:15" ht="54.95" customHeight="1" x14ac:dyDescent="0.25">
      <c r="D53" s="257">
        <v>42</v>
      </c>
      <c r="E53" s="1" t="s">
        <v>72</v>
      </c>
      <c r="F53" s="1" t="s">
        <v>156</v>
      </c>
      <c r="G53" s="1" t="s">
        <v>158</v>
      </c>
      <c r="H53" s="1">
        <f t="shared" si="1"/>
        <v>0.1525</v>
      </c>
      <c r="I53" s="1">
        <v>1525000</v>
      </c>
      <c r="J53" s="1">
        <f>I53*2%</f>
        <v>30500</v>
      </c>
      <c r="K53" s="267">
        <v>46082</v>
      </c>
      <c r="L53" s="267">
        <v>46092</v>
      </c>
      <c r="M53" s="1" t="str">
        <f t="shared" ca="1" si="0"/>
        <v>Open</v>
      </c>
      <c r="N53" s="43" t="s">
        <v>155</v>
      </c>
      <c r="O53" s="1" t="s">
        <v>155</v>
      </c>
    </row>
    <row r="54" spans="4:15" ht="54.95" customHeight="1" x14ac:dyDescent="0.25">
      <c r="D54" s="257">
        <v>43</v>
      </c>
      <c r="E54" s="1" t="s">
        <v>21</v>
      </c>
      <c r="F54" s="1" t="s">
        <v>18</v>
      </c>
      <c r="G54" s="1" t="s">
        <v>161</v>
      </c>
      <c r="H54" s="1">
        <f t="shared" si="1"/>
        <v>0.12709999999999999</v>
      </c>
      <c r="I54" s="1">
        <v>1271000</v>
      </c>
      <c r="J54" s="1">
        <v>39000</v>
      </c>
      <c r="K54" s="267">
        <v>46081</v>
      </c>
      <c r="L54" s="267">
        <v>46097</v>
      </c>
      <c r="M54" s="1" t="str">
        <f t="shared" ca="1" si="0"/>
        <v>Open</v>
      </c>
      <c r="N54" s="44" t="s">
        <v>160</v>
      </c>
      <c r="O54" s="1" t="s">
        <v>159</v>
      </c>
    </row>
    <row r="55" spans="4:15" ht="54.95" customHeight="1" x14ac:dyDescent="0.25">
      <c r="D55" s="257">
        <v>44</v>
      </c>
      <c r="E55" s="1" t="s">
        <v>72</v>
      </c>
      <c r="F55" s="1" t="s">
        <v>164</v>
      </c>
      <c r="G55" s="1" t="s">
        <v>166</v>
      </c>
      <c r="H55" s="1">
        <f t="shared" si="1"/>
        <v>0.17</v>
      </c>
      <c r="I55" s="1">
        <v>1700000</v>
      </c>
      <c r="J55" s="1">
        <v>34000</v>
      </c>
      <c r="K55" s="267">
        <v>46078</v>
      </c>
      <c r="L55" s="267">
        <v>46092</v>
      </c>
      <c r="M55" s="1" t="str">
        <f t="shared" ca="1" si="0"/>
        <v>Open</v>
      </c>
      <c r="N55" s="45" t="s">
        <v>163</v>
      </c>
      <c r="O55" s="1" t="s">
        <v>162</v>
      </c>
    </row>
    <row r="56" spans="4:15" ht="54.95" customHeight="1" x14ac:dyDescent="0.25">
      <c r="D56" s="257">
        <v>45</v>
      </c>
      <c r="E56" s="1" t="s">
        <v>72</v>
      </c>
      <c r="F56" s="1" t="s">
        <v>63</v>
      </c>
      <c r="G56" s="1" t="s">
        <v>170</v>
      </c>
      <c r="H56" s="1">
        <f t="shared" si="1"/>
        <v>0.16649999999999998</v>
      </c>
      <c r="I56" s="1">
        <v>1664999.9999999998</v>
      </c>
      <c r="J56" s="1">
        <f t="shared" ref="J56:J58" si="7">I56*2%</f>
        <v>33299.999999999993</v>
      </c>
      <c r="K56" s="267">
        <v>46079</v>
      </c>
      <c r="L56" s="267">
        <v>46100</v>
      </c>
      <c r="M56" s="1" t="str">
        <f t="shared" ca="1" si="0"/>
        <v>Open</v>
      </c>
      <c r="N56" s="46" t="s">
        <v>168</v>
      </c>
      <c r="O56" s="1" t="s">
        <v>167</v>
      </c>
    </row>
    <row r="57" spans="4:15" ht="54.95" customHeight="1" x14ac:dyDescent="0.25">
      <c r="D57" s="257">
        <v>46</v>
      </c>
      <c r="E57" s="1" t="s">
        <v>72</v>
      </c>
      <c r="F57" s="1" t="s">
        <v>63</v>
      </c>
      <c r="G57" s="1" t="s">
        <v>173</v>
      </c>
      <c r="H57" s="1">
        <f t="shared" si="1"/>
        <v>0.16649999999999998</v>
      </c>
      <c r="I57" s="1">
        <v>1664999.9999999998</v>
      </c>
      <c r="J57" s="1">
        <f t="shared" si="7"/>
        <v>33299.999999999993</v>
      </c>
      <c r="K57" s="267">
        <v>46079</v>
      </c>
      <c r="L57" s="267">
        <v>46100</v>
      </c>
      <c r="M57" s="1" t="str">
        <f t="shared" ca="1" si="0"/>
        <v>Open</v>
      </c>
      <c r="N57" s="47" t="s">
        <v>172</v>
      </c>
      <c r="O57" s="1" t="s">
        <v>171</v>
      </c>
    </row>
    <row r="58" spans="4:15" ht="54.95" customHeight="1" x14ac:dyDescent="0.25">
      <c r="D58" s="257">
        <v>47</v>
      </c>
      <c r="E58" s="1" t="s">
        <v>21</v>
      </c>
      <c r="F58" s="1" t="s">
        <v>164</v>
      </c>
      <c r="G58" s="1" t="s">
        <v>176</v>
      </c>
      <c r="H58" s="1">
        <f t="shared" si="1"/>
        <v>1E-3</v>
      </c>
      <c r="I58" s="1">
        <v>10000</v>
      </c>
      <c r="J58" s="1">
        <f t="shared" si="7"/>
        <v>200</v>
      </c>
      <c r="K58" s="267">
        <v>46079</v>
      </c>
      <c r="L58" s="267">
        <v>46093</v>
      </c>
      <c r="M58" s="1" t="str">
        <f t="shared" ca="1" si="0"/>
        <v>Open</v>
      </c>
      <c r="N58" s="48" t="s">
        <v>175</v>
      </c>
      <c r="O58" s="1" t="s">
        <v>174</v>
      </c>
    </row>
    <row r="59" spans="4:15" ht="54.95" customHeight="1" x14ac:dyDescent="0.25">
      <c r="D59" s="257">
        <v>48</v>
      </c>
      <c r="E59" s="1" t="s">
        <v>72</v>
      </c>
      <c r="F59" s="1" t="s">
        <v>164</v>
      </c>
      <c r="G59" s="1" t="s">
        <v>178</v>
      </c>
      <c r="H59" s="1">
        <f t="shared" si="1"/>
        <v>0.16300000000000001</v>
      </c>
      <c r="I59" s="1">
        <v>1630000</v>
      </c>
      <c r="J59" s="1">
        <v>33000</v>
      </c>
      <c r="K59" s="267">
        <v>46078</v>
      </c>
      <c r="L59" s="267">
        <v>46092</v>
      </c>
      <c r="M59" s="1" t="str">
        <f t="shared" ca="1" si="0"/>
        <v>Open</v>
      </c>
      <c r="N59" s="49" t="s">
        <v>177</v>
      </c>
      <c r="O59" s="1" t="s">
        <v>162</v>
      </c>
    </row>
    <row r="60" spans="4:15" ht="54.95" customHeight="1" x14ac:dyDescent="0.25">
      <c r="D60" s="257">
        <v>49</v>
      </c>
      <c r="E60" s="1" t="s">
        <v>183</v>
      </c>
      <c r="F60" s="1" t="s">
        <v>29</v>
      </c>
      <c r="G60" s="1" t="s">
        <v>182</v>
      </c>
      <c r="H60" s="1">
        <f t="shared" si="1"/>
        <v>5.0000000000000001E-3</v>
      </c>
      <c r="I60" s="1">
        <f>J60*50</f>
        <v>50000</v>
      </c>
      <c r="J60" s="1">
        <v>1000</v>
      </c>
      <c r="K60" s="267">
        <v>46079</v>
      </c>
      <c r="L60" s="267">
        <v>46094</v>
      </c>
      <c r="M60" s="1" t="str">
        <f t="shared" ca="1" si="0"/>
        <v>Open</v>
      </c>
      <c r="N60" s="50" t="s">
        <v>180</v>
      </c>
      <c r="O60" s="1" t="s">
        <v>179</v>
      </c>
    </row>
    <row r="61" spans="4:15" ht="54.95" customHeight="1" x14ac:dyDescent="0.25">
      <c r="D61" s="257">
        <v>50</v>
      </c>
      <c r="E61" s="1" t="s">
        <v>21</v>
      </c>
      <c r="F61" s="1" t="s">
        <v>164</v>
      </c>
      <c r="G61" s="1" t="s">
        <v>185</v>
      </c>
      <c r="H61" s="1">
        <f t="shared" si="1"/>
        <v>1E-3</v>
      </c>
      <c r="I61" s="1">
        <v>10000</v>
      </c>
      <c r="J61" s="1">
        <f t="shared" ref="J61:J62" si="8">I61*2%</f>
        <v>200</v>
      </c>
      <c r="K61" s="267">
        <v>46079</v>
      </c>
      <c r="L61" s="267">
        <v>46093</v>
      </c>
      <c r="M61" s="1" t="str">
        <f t="shared" ca="1" si="0"/>
        <v>Open</v>
      </c>
      <c r="N61" s="51" t="s">
        <v>184</v>
      </c>
      <c r="O61" s="1" t="s">
        <v>174</v>
      </c>
    </row>
    <row r="62" spans="4:15" ht="54.95" customHeight="1" x14ac:dyDescent="0.25">
      <c r="D62" s="257">
        <v>51</v>
      </c>
      <c r="E62" s="1" t="s">
        <v>21</v>
      </c>
      <c r="F62" s="1" t="s">
        <v>164</v>
      </c>
      <c r="G62" s="1" t="s">
        <v>187</v>
      </c>
      <c r="H62" s="1">
        <f t="shared" si="1"/>
        <v>1E-3</v>
      </c>
      <c r="I62" s="1">
        <v>10000</v>
      </c>
      <c r="J62" s="1">
        <f t="shared" si="8"/>
        <v>200</v>
      </c>
      <c r="K62" s="267">
        <v>46079</v>
      </c>
      <c r="L62" s="267">
        <v>46093</v>
      </c>
      <c r="M62" s="1" t="str">
        <f t="shared" ca="1" si="0"/>
        <v>Open</v>
      </c>
      <c r="N62" s="52" t="s">
        <v>186</v>
      </c>
      <c r="O62" s="1" t="s">
        <v>174</v>
      </c>
    </row>
    <row r="63" spans="4:15" ht="54.95" customHeight="1" x14ac:dyDescent="0.25">
      <c r="D63" s="257">
        <v>52</v>
      </c>
      <c r="E63" s="1" t="s">
        <v>183</v>
      </c>
      <c r="F63" s="1" t="s">
        <v>29</v>
      </c>
      <c r="G63" s="1" t="s">
        <v>189</v>
      </c>
      <c r="H63" s="1">
        <f t="shared" si="1"/>
        <v>2.5000000000000001E-2</v>
      </c>
      <c r="I63" s="1">
        <f>J63*50</f>
        <v>250000</v>
      </c>
      <c r="J63" s="1">
        <v>5000</v>
      </c>
      <c r="K63" s="267">
        <v>46079</v>
      </c>
      <c r="L63" s="267">
        <v>46094</v>
      </c>
      <c r="M63" s="1" t="str">
        <f t="shared" ca="1" si="0"/>
        <v>Open</v>
      </c>
      <c r="N63" s="53" t="s">
        <v>188</v>
      </c>
      <c r="O63" s="1" t="s">
        <v>179</v>
      </c>
    </row>
    <row r="64" spans="4:15" ht="54.95" customHeight="1" x14ac:dyDescent="0.25">
      <c r="D64" s="257">
        <v>53</v>
      </c>
      <c r="E64" s="1" t="s">
        <v>21</v>
      </c>
      <c r="F64" s="1" t="s">
        <v>164</v>
      </c>
      <c r="G64" s="1" t="s">
        <v>191</v>
      </c>
      <c r="H64" s="1">
        <f t="shared" si="1"/>
        <v>1E-3</v>
      </c>
      <c r="I64" s="1">
        <v>10000</v>
      </c>
      <c r="J64" s="1">
        <f t="shared" ref="J64:J67" si="9">I64*2%</f>
        <v>200</v>
      </c>
      <c r="K64" s="267">
        <v>46079</v>
      </c>
      <c r="L64" s="267">
        <v>46093</v>
      </c>
      <c r="M64" s="1" t="str">
        <f t="shared" ca="1" si="0"/>
        <v>Open</v>
      </c>
      <c r="N64" s="54" t="s">
        <v>190</v>
      </c>
      <c r="O64" s="1" t="s">
        <v>174</v>
      </c>
    </row>
    <row r="65" spans="4:15" ht="54.95" customHeight="1" x14ac:dyDescent="0.25">
      <c r="D65" s="257">
        <v>54</v>
      </c>
      <c r="E65" s="1" t="s">
        <v>21</v>
      </c>
      <c r="F65" s="1" t="s">
        <v>164</v>
      </c>
      <c r="G65" s="1" t="s">
        <v>193</v>
      </c>
      <c r="H65" s="1">
        <f t="shared" si="1"/>
        <v>5.0000000000000001E-4</v>
      </c>
      <c r="I65" s="1">
        <v>5000</v>
      </c>
      <c r="J65" s="1">
        <f t="shared" si="9"/>
        <v>100</v>
      </c>
      <c r="K65" s="267">
        <v>46079</v>
      </c>
      <c r="L65" s="267">
        <v>46093</v>
      </c>
      <c r="M65" s="1" t="str">
        <f t="shared" ca="1" si="0"/>
        <v>Open</v>
      </c>
      <c r="N65" s="55" t="s">
        <v>192</v>
      </c>
      <c r="O65" s="1" t="s">
        <v>174</v>
      </c>
    </row>
    <row r="66" spans="4:15" ht="54.95" customHeight="1" x14ac:dyDescent="0.25">
      <c r="D66" s="257">
        <v>55</v>
      </c>
      <c r="E66" s="1" t="s">
        <v>21</v>
      </c>
      <c r="F66" s="1" t="s">
        <v>164</v>
      </c>
      <c r="G66" s="1" t="s">
        <v>195</v>
      </c>
      <c r="H66" s="1">
        <f t="shared" si="1"/>
        <v>1E-3</v>
      </c>
      <c r="I66" s="1">
        <v>10000</v>
      </c>
      <c r="J66" s="1">
        <f t="shared" si="9"/>
        <v>200</v>
      </c>
      <c r="K66" s="267">
        <v>46079</v>
      </c>
      <c r="L66" s="267">
        <v>46093</v>
      </c>
      <c r="M66" s="1" t="str">
        <f t="shared" ca="1" si="0"/>
        <v>Open</v>
      </c>
      <c r="N66" s="56" t="s">
        <v>194</v>
      </c>
      <c r="O66" s="1" t="s">
        <v>174</v>
      </c>
    </row>
    <row r="67" spans="4:15" ht="54.95" customHeight="1" x14ac:dyDescent="0.25">
      <c r="D67" s="257">
        <v>56</v>
      </c>
      <c r="E67" s="1" t="s">
        <v>21</v>
      </c>
      <c r="F67" s="1" t="s">
        <v>164</v>
      </c>
      <c r="G67" s="1" t="s">
        <v>197</v>
      </c>
      <c r="H67" s="1">
        <f t="shared" si="1"/>
        <v>1E-3</v>
      </c>
      <c r="I67" s="1">
        <v>10000</v>
      </c>
      <c r="J67" s="1">
        <f t="shared" si="9"/>
        <v>200</v>
      </c>
      <c r="K67" s="267">
        <v>46079</v>
      </c>
      <c r="L67" s="267">
        <v>46093</v>
      </c>
      <c r="M67" s="1" t="str">
        <f t="shared" ca="1" si="0"/>
        <v>Open</v>
      </c>
      <c r="N67" s="57" t="s">
        <v>196</v>
      </c>
      <c r="O67" s="1" t="s">
        <v>174</v>
      </c>
    </row>
    <row r="68" spans="4:15" ht="54.95" customHeight="1" x14ac:dyDescent="0.25">
      <c r="D68" s="257">
        <v>57</v>
      </c>
      <c r="E68" s="1" t="s">
        <v>54</v>
      </c>
      <c r="F68" s="1" t="s">
        <v>63</v>
      </c>
      <c r="G68" s="1" t="s">
        <v>746</v>
      </c>
      <c r="H68" s="1">
        <f t="shared" si="1"/>
        <v>0.16528799999999999</v>
      </c>
      <c r="I68" s="1">
        <v>1652880</v>
      </c>
      <c r="J68" s="1">
        <f>I68*2%</f>
        <v>33057.599999999999</v>
      </c>
      <c r="K68" s="267">
        <v>46079</v>
      </c>
      <c r="L68" s="267">
        <v>46104</v>
      </c>
      <c r="M68" s="1" t="str">
        <f t="shared" ca="1" si="0"/>
        <v>Open</v>
      </c>
      <c r="N68" s="58" t="s">
        <v>198</v>
      </c>
      <c r="O68" s="1" t="s">
        <v>750</v>
      </c>
    </row>
    <row r="69" spans="4:15" ht="54.95" customHeight="1" x14ac:dyDescent="0.25">
      <c r="D69" s="257">
        <v>58</v>
      </c>
      <c r="E69" s="1" t="s">
        <v>54</v>
      </c>
      <c r="F69" s="1" t="s">
        <v>63</v>
      </c>
      <c r="G69" s="1" t="s">
        <v>744</v>
      </c>
      <c r="H69" s="1">
        <f t="shared" si="1"/>
        <v>0.2162038</v>
      </c>
      <c r="I69" s="1">
        <v>2162038</v>
      </c>
      <c r="J69" s="1">
        <f>I69*2%</f>
        <v>43240.76</v>
      </c>
      <c r="K69" s="267">
        <v>46079</v>
      </c>
      <c r="L69" s="267">
        <v>46104</v>
      </c>
      <c r="M69" s="1" t="str">
        <f t="shared" ca="1" si="0"/>
        <v>Open</v>
      </c>
      <c r="N69" s="58" t="s">
        <v>198</v>
      </c>
      <c r="O69" s="1" t="s">
        <v>748</v>
      </c>
    </row>
    <row r="70" spans="4:15" ht="54.95" customHeight="1" x14ac:dyDescent="0.25">
      <c r="D70" s="257">
        <v>59</v>
      </c>
      <c r="E70" s="1" t="s">
        <v>54</v>
      </c>
      <c r="F70" s="1" t="s">
        <v>63</v>
      </c>
      <c r="G70" s="1" t="s">
        <v>745</v>
      </c>
      <c r="H70" s="1">
        <f t="shared" si="1"/>
        <v>0.2089249</v>
      </c>
      <c r="I70" s="1">
        <v>2089249</v>
      </c>
      <c r="J70" s="1">
        <f>I70*2%</f>
        <v>41784.980000000003</v>
      </c>
      <c r="K70" s="267">
        <v>46079</v>
      </c>
      <c r="L70" s="267">
        <v>46104</v>
      </c>
      <c r="M70" s="1" t="str">
        <f t="shared" ca="1" si="0"/>
        <v>Open</v>
      </c>
      <c r="N70" s="58" t="s">
        <v>198</v>
      </c>
      <c r="O70" s="1" t="s">
        <v>749</v>
      </c>
    </row>
    <row r="71" spans="4:15" ht="54.95" customHeight="1" x14ac:dyDescent="0.25">
      <c r="D71" s="257">
        <v>60</v>
      </c>
      <c r="E71" s="1" t="s">
        <v>54</v>
      </c>
      <c r="F71" s="1" t="s">
        <v>63</v>
      </c>
      <c r="G71" s="1" t="s">
        <v>747</v>
      </c>
      <c r="H71" s="1">
        <f t="shared" si="1"/>
        <v>8.76551E-2</v>
      </c>
      <c r="I71" s="1">
        <v>876551</v>
      </c>
      <c r="J71" s="1">
        <f>I71*2%</f>
        <v>17531.02</v>
      </c>
      <c r="K71" s="267">
        <v>46079</v>
      </c>
      <c r="L71" s="267">
        <v>46104</v>
      </c>
      <c r="M71" s="1" t="str">
        <f t="shared" ca="1" si="0"/>
        <v>Open</v>
      </c>
      <c r="N71" s="58" t="s">
        <v>198</v>
      </c>
      <c r="O71" s="1" t="s">
        <v>751</v>
      </c>
    </row>
    <row r="72" spans="4:15" ht="54.95" customHeight="1" x14ac:dyDescent="0.25">
      <c r="D72" s="257">
        <v>61</v>
      </c>
      <c r="E72" s="1" t="s">
        <v>22</v>
      </c>
      <c r="F72" s="1" t="s">
        <v>18</v>
      </c>
      <c r="G72" s="1" t="s">
        <v>201</v>
      </c>
      <c r="H72" s="1">
        <f t="shared" si="1"/>
        <v>0</v>
      </c>
      <c r="I72" s="1">
        <v>0</v>
      </c>
      <c r="J72" s="1">
        <v>0</v>
      </c>
      <c r="K72" s="267">
        <v>46079</v>
      </c>
      <c r="L72" s="267">
        <v>46100</v>
      </c>
      <c r="M72" s="1" t="str">
        <f t="shared" ca="1" si="0"/>
        <v>Open</v>
      </c>
      <c r="N72" s="59" t="s">
        <v>200</v>
      </c>
      <c r="O72" s="1" t="s">
        <v>199</v>
      </c>
    </row>
    <row r="73" spans="4:15" ht="54.95" customHeight="1" x14ac:dyDescent="0.25">
      <c r="D73" s="257">
        <v>62</v>
      </c>
      <c r="E73" s="1" t="s">
        <v>21</v>
      </c>
      <c r="F73" s="1" t="s">
        <v>164</v>
      </c>
      <c r="G73" s="1" t="s">
        <v>203</v>
      </c>
      <c r="H73" s="1">
        <f t="shared" si="1"/>
        <v>1E-3</v>
      </c>
      <c r="I73" s="1">
        <v>10000</v>
      </c>
      <c r="J73" s="1">
        <f>I73*2%</f>
        <v>200</v>
      </c>
      <c r="K73" s="267">
        <v>46079</v>
      </c>
      <c r="L73" s="267">
        <v>46093</v>
      </c>
      <c r="M73" s="1" t="str">
        <f t="shared" ca="1" si="0"/>
        <v>Open</v>
      </c>
      <c r="N73" s="60" t="s">
        <v>202</v>
      </c>
      <c r="O73" s="1" t="s">
        <v>174</v>
      </c>
    </row>
    <row r="74" spans="4:15" ht="54.95" customHeight="1" x14ac:dyDescent="0.25">
      <c r="D74" s="257">
        <v>63</v>
      </c>
      <c r="E74" s="1" t="s">
        <v>72</v>
      </c>
      <c r="F74" s="1" t="s">
        <v>156</v>
      </c>
      <c r="G74" s="1" t="s">
        <v>206</v>
      </c>
      <c r="H74" s="1">
        <f t="shared" si="1"/>
        <v>0.1</v>
      </c>
      <c r="I74" s="1">
        <f>J74*50</f>
        <v>1000000</v>
      </c>
      <c r="J74" s="1">
        <v>20000</v>
      </c>
      <c r="K74" s="267">
        <v>46079</v>
      </c>
      <c r="L74" s="267">
        <v>46094</v>
      </c>
      <c r="M74" s="1" t="str">
        <f t="shared" ca="1" si="0"/>
        <v>Open</v>
      </c>
      <c r="N74" s="61" t="s">
        <v>205</v>
      </c>
      <c r="O74" s="1" t="s">
        <v>204</v>
      </c>
    </row>
    <row r="75" spans="4:15" ht="54.95" customHeight="1" x14ac:dyDescent="0.25">
      <c r="D75" s="257">
        <v>64</v>
      </c>
      <c r="E75" s="1" t="s">
        <v>141</v>
      </c>
      <c r="F75" s="1" t="s">
        <v>57</v>
      </c>
      <c r="G75" s="1" t="s">
        <v>208</v>
      </c>
      <c r="H75" s="1">
        <f t="shared" si="1"/>
        <v>0.12</v>
      </c>
      <c r="I75" s="1">
        <v>1200000</v>
      </c>
      <c r="J75" s="1">
        <v>25000</v>
      </c>
      <c r="K75" s="267">
        <v>46081</v>
      </c>
      <c r="L75" s="267">
        <v>46091</v>
      </c>
      <c r="M75" s="1" t="str">
        <f t="shared" ca="1" si="0"/>
        <v>Open</v>
      </c>
      <c r="N75" s="62" t="s">
        <v>207</v>
      </c>
      <c r="O75" s="1" t="s">
        <v>207</v>
      </c>
    </row>
    <row r="76" spans="4:15" ht="54.95" customHeight="1" x14ac:dyDescent="0.25">
      <c r="D76" s="257">
        <v>65</v>
      </c>
      <c r="E76" s="1" t="s">
        <v>54</v>
      </c>
      <c r="F76" s="1" t="s">
        <v>210</v>
      </c>
      <c r="G76" s="1" t="s">
        <v>211</v>
      </c>
      <c r="H76" s="1">
        <f t="shared" si="1"/>
        <v>0.6</v>
      </c>
      <c r="I76" s="1">
        <v>6000000</v>
      </c>
      <c r="J76" s="1">
        <v>145000</v>
      </c>
      <c r="K76" s="267">
        <v>46081</v>
      </c>
      <c r="L76" s="267">
        <v>46098</v>
      </c>
      <c r="M76" s="1" t="str">
        <f t="shared" ref="M76:M139" ca="1" si="10">IF(L76&lt;$I$7,"Closed",IF(L76&gt;$I$7,"Open",IF(L76=$I$7,"Closing Today","NA")))</f>
        <v>Open</v>
      </c>
      <c r="N76" s="63" t="s">
        <v>209</v>
      </c>
      <c r="O76" s="1" t="s">
        <v>209</v>
      </c>
    </row>
    <row r="77" spans="4:15" ht="54.95" customHeight="1" x14ac:dyDescent="0.25">
      <c r="D77" s="257">
        <v>66</v>
      </c>
      <c r="E77" s="1" t="s">
        <v>21</v>
      </c>
      <c r="F77" s="1" t="s">
        <v>18</v>
      </c>
      <c r="G77" s="1" t="s">
        <v>214</v>
      </c>
      <c r="H77" s="1">
        <f t="shared" si="1"/>
        <v>7.9200000000000007E-2</v>
      </c>
      <c r="I77" s="1">
        <v>792000</v>
      </c>
      <c r="J77" s="1">
        <v>24000</v>
      </c>
      <c r="K77" s="267">
        <v>46081</v>
      </c>
      <c r="L77" s="267">
        <v>46097</v>
      </c>
      <c r="M77" s="1" t="str">
        <f t="shared" ca="1" si="10"/>
        <v>Open</v>
      </c>
      <c r="N77" s="64" t="s">
        <v>213</v>
      </c>
      <c r="O77" s="1" t="s">
        <v>212</v>
      </c>
    </row>
    <row r="78" spans="4:15" ht="54.95" customHeight="1" x14ac:dyDescent="0.25">
      <c r="D78" s="257">
        <v>67</v>
      </c>
      <c r="E78" s="1" t="s">
        <v>21</v>
      </c>
      <c r="F78" s="1" t="s">
        <v>164</v>
      </c>
      <c r="G78" s="1" t="s">
        <v>217</v>
      </c>
      <c r="H78" s="1">
        <f t="shared" si="1"/>
        <v>0.28000000000000003</v>
      </c>
      <c r="I78" s="1">
        <v>2800000</v>
      </c>
      <c r="J78" s="1">
        <v>56000</v>
      </c>
      <c r="K78" s="267">
        <v>46081</v>
      </c>
      <c r="L78" s="267">
        <v>46095</v>
      </c>
      <c r="M78" s="1" t="str">
        <f t="shared" ca="1" si="10"/>
        <v>Open</v>
      </c>
      <c r="N78" s="65" t="s">
        <v>216</v>
      </c>
      <c r="O78" s="1" t="s">
        <v>215</v>
      </c>
    </row>
    <row r="79" spans="4:15" ht="54.95" customHeight="1" x14ac:dyDescent="0.25">
      <c r="D79" s="257">
        <v>68</v>
      </c>
      <c r="E79" s="1" t="s">
        <v>141</v>
      </c>
      <c r="F79" s="1" t="s">
        <v>18</v>
      </c>
      <c r="G79" s="1" t="s">
        <v>220</v>
      </c>
      <c r="H79" s="1">
        <f t="shared" ref="H79:H142" si="11">I79/10000000</f>
        <v>0.14499999999999999</v>
      </c>
      <c r="I79" s="1">
        <f t="shared" ref="I79:I81" si="12">J79*50</f>
        <v>1450000</v>
      </c>
      <c r="J79" s="1">
        <v>29000</v>
      </c>
      <c r="K79" s="267">
        <v>46081</v>
      </c>
      <c r="L79" s="267">
        <v>46098</v>
      </c>
      <c r="M79" s="1" t="str">
        <f t="shared" ca="1" si="10"/>
        <v>Open</v>
      </c>
      <c r="N79" s="66" t="s">
        <v>219</v>
      </c>
      <c r="O79" s="1" t="s">
        <v>218</v>
      </c>
    </row>
    <row r="80" spans="4:15" ht="54.95" customHeight="1" x14ac:dyDescent="0.25">
      <c r="D80" s="257">
        <v>69</v>
      </c>
      <c r="E80" s="1" t="s">
        <v>15</v>
      </c>
      <c r="F80" s="1" t="s">
        <v>18</v>
      </c>
      <c r="G80" s="1" t="s">
        <v>223</v>
      </c>
      <c r="H80" s="1">
        <f t="shared" si="11"/>
        <v>0.105</v>
      </c>
      <c r="I80" s="1">
        <f t="shared" si="12"/>
        <v>1050000</v>
      </c>
      <c r="J80" s="1">
        <v>21000</v>
      </c>
      <c r="K80" s="267">
        <v>46081</v>
      </c>
      <c r="L80" s="267">
        <v>46093</v>
      </c>
      <c r="M80" s="1" t="str">
        <f t="shared" ca="1" si="10"/>
        <v>Open</v>
      </c>
      <c r="N80" s="67" t="s">
        <v>222</v>
      </c>
      <c r="O80" s="1" t="s">
        <v>221</v>
      </c>
    </row>
    <row r="81" spans="4:15" ht="54.95" customHeight="1" x14ac:dyDescent="0.25">
      <c r="D81" s="257">
        <v>70</v>
      </c>
      <c r="E81" s="1" t="s">
        <v>15</v>
      </c>
      <c r="F81" s="1" t="s">
        <v>18</v>
      </c>
      <c r="G81" s="1" t="s">
        <v>226</v>
      </c>
      <c r="H81" s="1">
        <f t="shared" si="11"/>
        <v>9.2499999999999999E-2</v>
      </c>
      <c r="I81" s="1">
        <f t="shared" si="12"/>
        <v>925000</v>
      </c>
      <c r="J81" s="1">
        <v>18500</v>
      </c>
      <c r="K81" s="267">
        <v>46081</v>
      </c>
      <c r="L81" s="267">
        <v>46093</v>
      </c>
      <c r="M81" s="1" t="str">
        <f t="shared" ca="1" si="10"/>
        <v>Open</v>
      </c>
      <c r="N81" s="68" t="s">
        <v>225</v>
      </c>
      <c r="O81" s="1" t="s">
        <v>224</v>
      </c>
    </row>
    <row r="82" spans="4:15" ht="54.95" customHeight="1" x14ac:dyDescent="0.25">
      <c r="D82" s="257">
        <v>71</v>
      </c>
      <c r="E82" s="1" t="s">
        <v>21</v>
      </c>
      <c r="F82" s="1" t="s">
        <v>52</v>
      </c>
      <c r="G82" s="1" t="s">
        <v>229</v>
      </c>
      <c r="H82" s="1">
        <f t="shared" si="11"/>
        <v>0.16510000000000002</v>
      </c>
      <c r="I82" s="1">
        <v>1651000.0000000002</v>
      </c>
      <c r="J82" s="1">
        <v>39000</v>
      </c>
      <c r="K82" s="267">
        <v>46081</v>
      </c>
      <c r="L82" s="267">
        <v>46097</v>
      </c>
      <c r="M82" s="1" t="str">
        <f t="shared" ca="1" si="10"/>
        <v>Open</v>
      </c>
      <c r="N82" s="69" t="s">
        <v>228</v>
      </c>
      <c r="O82" s="1" t="s">
        <v>227</v>
      </c>
    </row>
    <row r="83" spans="4:15" ht="54.95" customHeight="1" x14ac:dyDescent="0.25">
      <c r="D83" s="257">
        <v>72</v>
      </c>
      <c r="E83" s="1" t="s">
        <v>21</v>
      </c>
      <c r="F83" s="1" t="s">
        <v>164</v>
      </c>
      <c r="G83" s="1" t="s">
        <v>231</v>
      </c>
      <c r="H83" s="1">
        <f t="shared" si="11"/>
        <v>0.28000000000000003</v>
      </c>
      <c r="I83" s="1">
        <v>2800000</v>
      </c>
      <c r="J83" s="1">
        <v>56000</v>
      </c>
      <c r="K83" s="267">
        <v>46081</v>
      </c>
      <c r="L83" s="267">
        <v>46095</v>
      </c>
      <c r="M83" s="1" t="str">
        <f t="shared" ca="1" si="10"/>
        <v>Open</v>
      </c>
      <c r="N83" s="70" t="s">
        <v>230</v>
      </c>
      <c r="O83" s="1" t="s">
        <v>215</v>
      </c>
    </row>
    <row r="84" spans="4:15" ht="54.95" customHeight="1" x14ac:dyDescent="0.25">
      <c r="D84" s="257">
        <v>73</v>
      </c>
      <c r="E84" s="1" t="s">
        <v>141</v>
      </c>
      <c r="F84" s="1" t="s">
        <v>18</v>
      </c>
      <c r="G84" s="1" t="s">
        <v>234</v>
      </c>
      <c r="H84" s="1">
        <f t="shared" si="11"/>
        <v>0.56000000000000005</v>
      </c>
      <c r="I84" s="1">
        <v>5600000</v>
      </c>
      <c r="J84" s="1">
        <v>112000.00000000001</v>
      </c>
      <c r="K84" s="267">
        <v>46081</v>
      </c>
      <c r="L84" s="267">
        <v>46098</v>
      </c>
      <c r="M84" s="1" t="str">
        <f t="shared" ca="1" si="10"/>
        <v>Open</v>
      </c>
      <c r="N84" s="71" t="s">
        <v>233</v>
      </c>
      <c r="O84" s="1" t="s">
        <v>232</v>
      </c>
    </row>
    <row r="85" spans="4:15" ht="54.95" customHeight="1" x14ac:dyDescent="0.25">
      <c r="D85" s="257">
        <v>74</v>
      </c>
      <c r="E85" s="1" t="s">
        <v>54</v>
      </c>
      <c r="F85" s="1" t="s">
        <v>63</v>
      </c>
      <c r="G85" s="1" t="s">
        <v>237</v>
      </c>
      <c r="H85" s="1">
        <f t="shared" si="11"/>
        <v>0.12529999999999999</v>
      </c>
      <c r="I85" s="1">
        <v>1253000</v>
      </c>
      <c r="J85" s="1">
        <v>40000</v>
      </c>
      <c r="K85" s="267">
        <v>46081</v>
      </c>
      <c r="L85" s="267">
        <v>46104</v>
      </c>
      <c r="M85" s="1" t="str">
        <f t="shared" ca="1" si="10"/>
        <v>Open</v>
      </c>
      <c r="N85" s="72" t="s">
        <v>236</v>
      </c>
      <c r="O85" s="1" t="s">
        <v>235</v>
      </c>
    </row>
    <row r="86" spans="4:15" ht="54.95" customHeight="1" x14ac:dyDescent="0.25">
      <c r="D86" s="257">
        <v>75</v>
      </c>
      <c r="E86" s="1" t="s">
        <v>21</v>
      </c>
      <c r="F86" s="1" t="s">
        <v>18</v>
      </c>
      <c r="G86" s="1" t="s">
        <v>214</v>
      </c>
      <c r="H86" s="1">
        <f t="shared" si="11"/>
        <v>7.9200000000000007E-2</v>
      </c>
      <c r="I86" s="1">
        <v>792000</v>
      </c>
      <c r="J86" s="1">
        <v>24000</v>
      </c>
      <c r="K86" s="267">
        <v>46081</v>
      </c>
      <c r="L86" s="267">
        <v>46097</v>
      </c>
      <c r="M86" s="1" t="str">
        <f t="shared" ca="1" si="10"/>
        <v>Open</v>
      </c>
      <c r="N86" s="73" t="s">
        <v>239</v>
      </c>
      <c r="O86" s="1" t="s">
        <v>238</v>
      </c>
    </row>
    <row r="87" spans="4:15" ht="54.95" customHeight="1" x14ac:dyDescent="0.25">
      <c r="D87" s="257">
        <v>76</v>
      </c>
      <c r="E87" s="1" t="s">
        <v>21</v>
      </c>
      <c r="F87" s="1" t="s">
        <v>52</v>
      </c>
      <c r="G87" s="1" t="s">
        <v>242</v>
      </c>
      <c r="H87" s="1">
        <f t="shared" si="11"/>
        <v>9.6000000000000002E-2</v>
      </c>
      <c r="I87" s="1">
        <v>960000</v>
      </c>
      <c r="J87" s="1">
        <v>23000</v>
      </c>
      <c r="K87" s="267">
        <v>46081</v>
      </c>
      <c r="L87" s="267">
        <v>46097</v>
      </c>
      <c r="M87" s="1" t="str">
        <f t="shared" ca="1" si="10"/>
        <v>Open</v>
      </c>
      <c r="N87" s="74" t="s">
        <v>241</v>
      </c>
      <c r="O87" s="1" t="s">
        <v>240</v>
      </c>
    </row>
    <row r="88" spans="4:15" ht="54.95" customHeight="1" x14ac:dyDescent="0.25">
      <c r="D88" s="257">
        <v>77</v>
      </c>
      <c r="E88" s="1" t="s">
        <v>21</v>
      </c>
      <c r="F88" s="1" t="s">
        <v>164</v>
      </c>
      <c r="G88" s="1" t="s">
        <v>244</v>
      </c>
      <c r="H88" s="1">
        <f t="shared" si="11"/>
        <v>0.28000000000000003</v>
      </c>
      <c r="I88" s="1">
        <v>2800000</v>
      </c>
      <c r="J88" s="1">
        <v>56000</v>
      </c>
      <c r="K88" s="267">
        <v>46081</v>
      </c>
      <c r="L88" s="267">
        <v>46095</v>
      </c>
      <c r="M88" s="1" t="str">
        <f t="shared" ca="1" si="10"/>
        <v>Open</v>
      </c>
      <c r="N88" s="75" t="s">
        <v>243</v>
      </c>
      <c r="O88" s="1" t="s">
        <v>215</v>
      </c>
    </row>
    <row r="89" spans="4:15" ht="54.95" customHeight="1" x14ac:dyDescent="0.25">
      <c r="D89" s="257">
        <v>78</v>
      </c>
      <c r="E89" s="1" t="s">
        <v>21</v>
      </c>
      <c r="F89" s="1" t="s">
        <v>164</v>
      </c>
      <c r="G89" s="1" t="s">
        <v>246</v>
      </c>
      <c r="H89" s="1">
        <f t="shared" si="11"/>
        <v>0.28000000000000003</v>
      </c>
      <c r="I89" s="1">
        <v>2800000</v>
      </c>
      <c r="J89" s="1">
        <v>56000</v>
      </c>
      <c r="K89" s="267">
        <v>46081</v>
      </c>
      <c r="L89" s="267">
        <v>46095</v>
      </c>
      <c r="M89" s="1" t="str">
        <f t="shared" ca="1" si="10"/>
        <v>Open</v>
      </c>
      <c r="N89" s="76" t="s">
        <v>245</v>
      </c>
      <c r="O89" s="1" t="s">
        <v>215</v>
      </c>
    </row>
    <row r="90" spans="4:15" ht="54.95" customHeight="1" x14ac:dyDescent="0.25">
      <c r="D90" s="257">
        <v>79</v>
      </c>
      <c r="E90" s="1" t="s">
        <v>21</v>
      </c>
      <c r="F90" s="1" t="s">
        <v>18</v>
      </c>
      <c r="G90" s="1" t="s">
        <v>214</v>
      </c>
      <c r="H90" s="1">
        <f t="shared" si="11"/>
        <v>7.9200000000000007E-2</v>
      </c>
      <c r="I90" s="1">
        <v>792000</v>
      </c>
      <c r="J90" s="1">
        <v>24000</v>
      </c>
      <c r="K90" s="267">
        <v>46081</v>
      </c>
      <c r="L90" s="267">
        <v>46097</v>
      </c>
      <c r="M90" s="1" t="str">
        <f t="shared" ca="1" si="10"/>
        <v>Open</v>
      </c>
      <c r="N90" s="77" t="s">
        <v>248</v>
      </c>
      <c r="O90" s="1" t="s">
        <v>247</v>
      </c>
    </row>
    <row r="91" spans="4:15" ht="54.95" customHeight="1" x14ac:dyDescent="0.25">
      <c r="D91" s="257">
        <v>80</v>
      </c>
      <c r="E91" s="1" t="s">
        <v>21</v>
      </c>
      <c r="F91" s="1" t="s">
        <v>164</v>
      </c>
      <c r="G91" s="1" t="s">
        <v>250</v>
      </c>
      <c r="H91" s="1">
        <f t="shared" si="11"/>
        <v>0.28000000000000003</v>
      </c>
      <c r="I91" s="1">
        <v>2800000</v>
      </c>
      <c r="J91" s="1">
        <v>56000</v>
      </c>
      <c r="K91" s="267">
        <v>46081</v>
      </c>
      <c r="L91" s="267">
        <v>46095</v>
      </c>
      <c r="M91" s="1" t="str">
        <f t="shared" ca="1" si="10"/>
        <v>Open</v>
      </c>
      <c r="N91" s="78" t="s">
        <v>249</v>
      </c>
      <c r="O91" s="1" t="s">
        <v>215</v>
      </c>
    </row>
    <row r="92" spans="4:15" ht="54.95" customHeight="1" x14ac:dyDescent="0.25">
      <c r="D92" s="257">
        <v>81</v>
      </c>
      <c r="E92" s="1" t="s">
        <v>21</v>
      </c>
      <c r="F92" s="1" t="s">
        <v>52</v>
      </c>
      <c r="G92" s="1" t="s">
        <v>253</v>
      </c>
      <c r="H92" s="1">
        <f t="shared" si="11"/>
        <v>0.11360000000000001</v>
      </c>
      <c r="I92" s="1">
        <v>1136000</v>
      </c>
      <c r="J92" s="1">
        <v>27000</v>
      </c>
      <c r="K92" s="267">
        <v>46081</v>
      </c>
      <c r="L92" s="267">
        <v>46097</v>
      </c>
      <c r="M92" s="1" t="str">
        <f t="shared" ca="1" si="10"/>
        <v>Open</v>
      </c>
      <c r="N92" s="79" t="s">
        <v>252</v>
      </c>
      <c r="O92" s="1" t="s">
        <v>251</v>
      </c>
    </row>
    <row r="93" spans="4:15" ht="54.95" customHeight="1" x14ac:dyDescent="0.25">
      <c r="D93" s="257">
        <v>82</v>
      </c>
      <c r="E93" s="1" t="s">
        <v>15</v>
      </c>
      <c r="F93" s="1" t="s">
        <v>18</v>
      </c>
      <c r="G93" s="1" t="s">
        <v>256</v>
      </c>
      <c r="H93" s="1">
        <f t="shared" si="11"/>
        <v>0.04</v>
      </c>
      <c r="I93" s="1">
        <v>400000</v>
      </c>
      <c r="J93" s="1">
        <v>16000</v>
      </c>
      <c r="K93" s="267">
        <v>46081</v>
      </c>
      <c r="L93" s="267">
        <v>46098</v>
      </c>
      <c r="M93" s="1" t="str">
        <f t="shared" ca="1" si="10"/>
        <v>Open</v>
      </c>
      <c r="N93" s="80" t="s">
        <v>255</v>
      </c>
      <c r="O93" s="1" t="s">
        <v>254</v>
      </c>
    </row>
    <row r="94" spans="4:15" ht="54.95" customHeight="1" x14ac:dyDescent="0.25">
      <c r="D94" s="257">
        <v>83</v>
      </c>
      <c r="E94" s="1" t="s">
        <v>21</v>
      </c>
      <c r="F94" s="1" t="s">
        <v>164</v>
      </c>
      <c r="G94" s="1" t="s">
        <v>258</v>
      </c>
      <c r="H94" s="1">
        <f t="shared" si="11"/>
        <v>0.28000000000000003</v>
      </c>
      <c r="I94" s="1">
        <v>2800000</v>
      </c>
      <c r="J94" s="1">
        <v>56000</v>
      </c>
      <c r="K94" s="267">
        <v>46081</v>
      </c>
      <c r="L94" s="267">
        <v>46095</v>
      </c>
      <c r="M94" s="1" t="str">
        <f t="shared" ca="1" si="10"/>
        <v>Open</v>
      </c>
      <c r="N94" s="81" t="s">
        <v>257</v>
      </c>
      <c r="O94" s="1" t="s">
        <v>215</v>
      </c>
    </row>
    <row r="95" spans="4:15" ht="54.95" customHeight="1" x14ac:dyDescent="0.25">
      <c r="D95" s="257">
        <v>84</v>
      </c>
      <c r="E95" s="1" t="s">
        <v>72</v>
      </c>
      <c r="F95" s="1" t="s">
        <v>63</v>
      </c>
      <c r="G95" s="1" t="s">
        <v>262</v>
      </c>
      <c r="H95" s="1">
        <f t="shared" si="11"/>
        <v>0.34229999999999994</v>
      </c>
      <c r="I95" s="1">
        <v>3422999.9999999995</v>
      </c>
      <c r="J95" s="1">
        <v>68500</v>
      </c>
      <c r="K95" s="267">
        <v>46081</v>
      </c>
      <c r="L95" s="267">
        <v>46105</v>
      </c>
      <c r="M95" s="1" t="str">
        <f t="shared" ca="1" si="10"/>
        <v>Open</v>
      </c>
      <c r="N95" s="82" t="s">
        <v>260</v>
      </c>
      <c r="O95" s="1" t="s">
        <v>259</v>
      </c>
    </row>
    <row r="96" spans="4:15" ht="54.95" customHeight="1" x14ac:dyDescent="0.25">
      <c r="D96" s="257">
        <v>85</v>
      </c>
      <c r="E96" s="1" t="s">
        <v>21</v>
      </c>
      <c r="F96" s="1" t="s">
        <v>18</v>
      </c>
      <c r="G96" s="1" t="s">
        <v>214</v>
      </c>
      <c r="H96" s="1">
        <f t="shared" si="11"/>
        <v>7.9200000000000007E-2</v>
      </c>
      <c r="I96" s="1">
        <v>792000</v>
      </c>
      <c r="J96" s="1">
        <v>24000</v>
      </c>
      <c r="K96" s="267">
        <v>46081</v>
      </c>
      <c r="L96" s="267">
        <v>46097</v>
      </c>
      <c r="M96" s="1" t="str">
        <f t="shared" ca="1" si="10"/>
        <v>Open</v>
      </c>
      <c r="N96" s="83" t="s">
        <v>264</v>
      </c>
      <c r="O96" s="1" t="s">
        <v>263</v>
      </c>
    </row>
    <row r="97" spans="4:15" ht="54.95" customHeight="1" x14ac:dyDescent="0.25">
      <c r="D97" s="257">
        <v>86</v>
      </c>
      <c r="E97" s="1" t="s">
        <v>54</v>
      </c>
      <c r="F97" s="1" t="s">
        <v>18</v>
      </c>
      <c r="G97" s="1" t="s">
        <v>268</v>
      </c>
      <c r="H97" s="1">
        <f t="shared" si="11"/>
        <v>70.13</v>
      </c>
      <c r="I97" s="1">
        <v>701300000</v>
      </c>
      <c r="J97" s="1">
        <v>14100000</v>
      </c>
      <c r="K97" s="267">
        <v>46081</v>
      </c>
      <c r="L97" s="267">
        <v>46090</v>
      </c>
      <c r="M97" s="1" t="str">
        <f t="shared" ca="1" si="10"/>
        <v>Open</v>
      </c>
      <c r="N97" s="84" t="s">
        <v>266</v>
      </c>
      <c r="O97" s="1" t="s">
        <v>265</v>
      </c>
    </row>
    <row r="98" spans="4:15" ht="54.95" customHeight="1" x14ac:dyDescent="0.25">
      <c r="D98" s="257">
        <v>87</v>
      </c>
      <c r="E98" s="1" t="s">
        <v>21</v>
      </c>
      <c r="F98" s="1" t="s">
        <v>18</v>
      </c>
      <c r="G98" s="1" t="s">
        <v>214</v>
      </c>
      <c r="H98" s="1">
        <f t="shared" si="11"/>
        <v>7.9200000000000007E-2</v>
      </c>
      <c r="I98" s="1">
        <v>792000</v>
      </c>
      <c r="J98" s="1">
        <v>24000</v>
      </c>
      <c r="K98" s="267">
        <v>46081</v>
      </c>
      <c r="L98" s="267">
        <v>46097</v>
      </c>
      <c r="M98" s="1" t="str">
        <f t="shared" ca="1" si="10"/>
        <v>Open</v>
      </c>
      <c r="N98" s="85" t="s">
        <v>270</v>
      </c>
      <c r="O98" s="1" t="s">
        <v>269</v>
      </c>
    </row>
    <row r="99" spans="4:15" ht="54.95" customHeight="1" x14ac:dyDescent="0.25">
      <c r="D99" s="257">
        <v>88</v>
      </c>
      <c r="E99" s="1" t="s">
        <v>21</v>
      </c>
      <c r="F99" s="1" t="s">
        <v>164</v>
      </c>
      <c r="G99" s="1" t="s">
        <v>272</v>
      </c>
      <c r="H99" s="1">
        <f t="shared" si="11"/>
        <v>0.28000000000000003</v>
      </c>
      <c r="I99" s="1">
        <v>2800000</v>
      </c>
      <c r="J99" s="1">
        <v>56000</v>
      </c>
      <c r="K99" s="267">
        <v>46081</v>
      </c>
      <c r="L99" s="267">
        <v>46095</v>
      </c>
      <c r="M99" s="1" t="str">
        <f t="shared" ca="1" si="10"/>
        <v>Open</v>
      </c>
      <c r="N99" s="86" t="s">
        <v>271</v>
      </c>
      <c r="O99" s="1" t="s">
        <v>215</v>
      </c>
    </row>
    <row r="100" spans="4:15" ht="54.95" customHeight="1" x14ac:dyDescent="0.25">
      <c r="D100" s="257">
        <v>89</v>
      </c>
      <c r="E100" s="1" t="s">
        <v>21</v>
      </c>
      <c r="F100" s="1" t="s">
        <v>18</v>
      </c>
      <c r="G100" s="1" t="s">
        <v>275</v>
      </c>
      <c r="H100" s="1">
        <f t="shared" si="11"/>
        <v>0.75</v>
      </c>
      <c r="I100" s="1">
        <v>7500000</v>
      </c>
      <c r="J100" s="1">
        <v>150000</v>
      </c>
      <c r="K100" s="267">
        <v>46081</v>
      </c>
      <c r="L100" s="267">
        <v>46093</v>
      </c>
      <c r="M100" s="1" t="str">
        <f t="shared" ca="1" si="10"/>
        <v>Open</v>
      </c>
      <c r="N100" s="87" t="s">
        <v>274</v>
      </c>
      <c r="O100" s="1" t="s">
        <v>273</v>
      </c>
    </row>
    <row r="101" spans="4:15" ht="54.95" customHeight="1" x14ac:dyDescent="0.25">
      <c r="D101" s="257">
        <v>90</v>
      </c>
      <c r="E101" s="1" t="s">
        <v>21</v>
      </c>
      <c r="F101" s="1" t="s">
        <v>164</v>
      </c>
      <c r="G101" s="1" t="s">
        <v>277</v>
      </c>
      <c r="H101" s="1">
        <f t="shared" si="11"/>
        <v>0.28000000000000003</v>
      </c>
      <c r="I101" s="1">
        <v>2800000</v>
      </c>
      <c r="J101" s="1">
        <v>56000</v>
      </c>
      <c r="K101" s="267">
        <v>46081</v>
      </c>
      <c r="L101" s="267">
        <v>46095</v>
      </c>
      <c r="M101" s="1" t="str">
        <f t="shared" ca="1" si="10"/>
        <v>Open</v>
      </c>
      <c r="N101" s="88" t="s">
        <v>276</v>
      </c>
      <c r="O101" s="1" t="s">
        <v>215</v>
      </c>
    </row>
    <row r="102" spans="4:15" ht="54.95" customHeight="1" x14ac:dyDescent="0.25">
      <c r="D102" s="257">
        <v>91</v>
      </c>
      <c r="E102" s="1" t="s">
        <v>141</v>
      </c>
      <c r="F102" s="1" t="s">
        <v>18</v>
      </c>
      <c r="G102" s="1" t="s">
        <v>280</v>
      </c>
      <c r="H102" s="1">
        <f t="shared" si="11"/>
        <v>0.49</v>
      </c>
      <c r="I102" s="1">
        <v>4900000</v>
      </c>
      <c r="J102" s="1">
        <v>98000</v>
      </c>
      <c r="K102" s="267">
        <v>46081</v>
      </c>
      <c r="L102" s="267">
        <v>46098</v>
      </c>
      <c r="M102" s="1" t="str">
        <f t="shared" ca="1" si="10"/>
        <v>Open</v>
      </c>
      <c r="N102" s="89" t="s">
        <v>279</v>
      </c>
      <c r="O102" s="1" t="s">
        <v>278</v>
      </c>
    </row>
    <row r="103" spans="4:15" ht="54.95" customHeight="1" x14ac:dyDescent="0.25">
      <c r="D103" s="257">
        <v>92</v>
      </c>
      <c r="E103" s="1" t="s">
        <v>141</v>
      </c>
      <c r="F103" s="1" t="s">
        <v>18</v>
      </c>
      <c r="G103" s="1" t="s">
        <v>283</v>
      </c>
      <c r="H103" s="1">
        <f t="shared" si="11"/>
        <v>0.48</v>
      </c>
      <c r="I103" s="1">
        <v>4800000</v>
      </c>
      <c r="J103" s="1">
        <v>96000</v>
      </c>
      <c r="K103" s="267">
        <v>46081</v>
      </c>
      <c r="L103" s="267">
        <v>46098</v>
      </c>
      <c r="M103" s="1" t="str">
        <f t="shared" ca="1" si="10"/>
        <v>Open</v>
      </c>
      <c r="N103" s="90" t="s">
        <v>282</v>
      </c>
      <c r="O103" s="1" t="s">
        <v>281</v>
      </c>
    </row>
    <row r="104" spans="4:15" ht="54.95" customHeight="1" x14ac:dyDescent="0.25">
      <c r="D104" s="257">
        <v>93</v>
      </c>
      <c r="E104" s="1" t="s">
        <v>21</v>
      </c>
      <c r="F104" s="1" t="s">
        <v>164</v>
      </c>
      <c r="G104" s="1" t="s">
        <v>285</v>
      </c>
      <c r="H104" s="1">
        <f t="shared" si="11"/>
        <v>0.28000000000000003</v>
      </c>
      <c r="I104" s="1">
        <v>2800000</v>
      </c>
      <c r="J104" s="1">
        <v>56000</v>
      </c>
      <c r="K104" s="267">
        <v>46081</v>
      </c>
      <c r="L104" s="267">
        <v>46095</v>
      </c>
      <c r="M104" s="1" t="str">
        <f t="shared" ca="1" si="10"/>
        <v>Open</v>
      </c>
      <c r="N104" s="91" t="s">
        <v>284</v>
      </c>
      <c r="O104" s="1" t="s">
        <v>215</v>
      </c>
    </row>
    <row r="105" spans="4:15" ht="54.95" customHeight="1" x14ac:dyDescent="0.25">
      <c r="D105" s="257">
        <v>94</v>
      </c>
      <c r="E105" s="1" t="s">
        <v>54</v>
      </c>
      <c r="F105" s="1" t="s">
        <v>288</v>
      </c>
      <c r="G105" s="1" t="s">
        <v>289</v>
      </c>
      <c r="H105" s="1">
        <f t="shared" si="11"/>
        <v>14.5</v>
      </c>
      <c r="I105" s="1">
        <f>J105*50</f>
        <v>145000000</v>
      </c>
      <c r="J105" s="1">
        <v>2900000</v>
      </c>
      <c r="K105" s="267">
        <v>46081</v>
      </c>
      <c r="L105" s="267">
        <v>46104</v>
      </c>
      <c r="M105" s="1" t="str">
        <f t="shared" ca="1" si="10"/>
        <v>Open</v>
      </c>
      <c r="N105" s="92" t="s">
        <v>287</v>
      </c>
      <c r="O105" s="1" t="s">
        <v>286</v>
      </c>
    </row>
    <row r="106" spans="4:15" ht="54.95" customHeight="1" x14ac:dyDescent="0.25">
      <c r="D106" s="257">
        <v>95</v>
      </c>
      <c r="E106" s="1" t="s">
        <v>54</v>
      </c>
      <c r="F106" s="1" t="s">
        <v>144</v>
      </c>
      <c r="G106" s="1" t="s">
        <v>292</v>
      </c>
      <c r="H106" s="1">
        <f t="shared" si="11"/>
        <v>0.29859999999999998</v>
      </c>
      <c r="I106" s="1">
        <v>2986000</v>
      </c>
      <c r="J106" s="1">
        <v>85000</v>
      </c>
      <c r="K106" s="267">
        <v>46081</v>
      </c>
      <c r="L106" s="267">
        <v>46094</v>
      </c>
      <c r="M106" s="1" t="str">
        <f t="shared" ca="1" si="10"/>
        <v>Open</v>
      </c>
      <c r="N106" s="93" t="s">
        <v>291</v>
      </c>
      <c r="O106" s="1" t="s">
        <v>290</v>
      </c>
    </row>
    <row r="107" spans="4:15" ht="54.95" customHeight="1" x14ac:dyDescent="0.25">
      <c r="D107" s="257">
        <v>96</v>
      </c>
      <c r="E107" s="1" t="s">
        <v>65</v>
      </c>
      <c r="F107" s="1" t="s">
        <v>295</v>
      </c>
      <c r="G107" s="1" t="s">
        <v>296</v>
      </c>
      <c r="H107" s="1">
        <f t="shared" si="11"/>
        <v>0.52</v>
      </c>
      <c r="I107" s="1">
        <v>5200000</v>
      </c>
      <c r="J107" s="1">
        <v>125000</v>
      </c>
      <c r="K107" s="267">
        <v>46081</v>
      </c>
      <c r="L107" s="267">
        <v>46100</v>
      </c>
      <c r="M107" s="1" t="str">
        <f t="shared" ca="1" si="10"/>
        <v>Open</v>
      </c>
      <c r="N107" s="94" t="s">
        <v>294</v>
      </c>
      <c r="O107" s="1" t="s">
        <v>293</v>
      </c>
    </row>
    <row r="108" spans="4:15" ht="54.95" customHeight="1" x14ac:dyDescent="0.25">
      <c r="D108" s="257">
        <v>97</v>
      </c>
      <c r="E108" s="1" t="s">
        <v>65</v>
      </c>
      <c r="F108" s="1" t="s">
        <v>295</v>
      </c>
      <c r="G108" s="1" t="s">
        <v>299</v>
      </c>
      <c r="H108" s="1">
        <f t="shared" si="11"/>
        <v>0.25</v>
      </c>
      <c r="I108" s="1">
        <v>2500000</v>
      </c>
      <c r="J108" s="1">
        <v>85000</v>
      </c>
      <c r="K108" s="267">
        <v>46081</v>
      </c>
      <c r="L108" s="267">
        <v>46098</v>
      </c>
      <c r="M108" s="1" t="str">
        <f t="shared" ca="1" si="10"/>
        <v>Open</v>
      </c>
      <c r="N108" s="95" t="s">
        <v>298</v>
      </c>
      <c r="O108" s="1" t="s">
        <v>297</v>
      </c>
    </row>
    <row r="109" spans="4:15" ht="54.95" customHeight="1" x14ac:dyDescent="0.25">
      <c r="D109" s="257">
        <v>98</v>
      </c>
      <c r="E109" s="1" t="s">
        <v>21</v>
      </c>
      <c r="F109" s="1" t="s">
        <v>52</v>
      </c>
      <c r="G109" s="1" t="s">
        <v>302</v>
      </c>
      <c r="H109" s="1">
        <f t="shared" si="11"/>
        <v>0.32190000000000002</v>
      </c>
      <c r="I109" s="1">
        <v>3219000</v>
      </c>
      <c r="J109" s="1">
        <v>76040</v>
      </c>
      <c r="K109" s="267">
        <v>46081</v>
      </c>
      <c r="L109" s="267">
        <v>46097</v>
      </c>
      <c r="M109" s="1" t="str">
        <f t="shared" ca="1" si="10"/>
        <v>Open</v>
      </c>
      <c r="N109" s="96" t="s">
        <v>301</v>
      </c>
      <c r="O109" s="1" t="s">
        <v>300</v>
      </c>
    </row>
    <row r="110" spans="4:15" ht="54.95" customHeight="1" x14ac:dyDescent="0.25">
      <c r="D110" s="257">
        <v>99</v>
      </c>
      <c r="E110" s="1" t="s">
        <v>21</v>
      </c>
      <c r="F110" s="1" t="s">
        <v>164</v>
      </c>
      <c r="G110" s="1" t="s">
        <v>304</v>
      </c>
      <c r="H110" s="1">
        <f t="shared" si="11"/>
        <v>0.28000000000000003</v>
      </c>
      <c r="I110" s="1">
        <v>2800000</v>
      </c>
      <c r="J110" s="1">
        <v>56000</v>
      </c>
      <c r="K110" s="267">
        <v>46081</v>
      </c>
      <c r="L110" s="267">
        <v>46095</v>
      </c>
      <c r="M110" s="1" t="str">
        <f t="shared" ca="1" si="10"/>
        <v>Open</v>
      </c>
      <c r="N110" s="97" t="s">
        <v>303</v>
      </c>
      <c r="O110" s="1" t="s">
        <v>215</v>
      </c>
    </row>
    <row r="111" spans="4:15" ht="54.95" customHeight="1" x14ac:dyDescent="0.25">
      <c r="D111" s="257">
        <v>100</v>
      </c>
      <c r="E111" s="1" t="s">
        <v>54</v>
      </c>
      <c r="F111" s="1" t="s">
        <v>288</v>
      </c>
      <c r="G111" s="1" t="s">
        <v>309</v>
      </c>
      <c r="H111" s="1">
        <f t="shared" si="11"/>
        <v>0.1</v>
      </c>
      <c r="I111" s="1">
        <f>J111*50</f>
        <v>1000000</v>
      </c>
      <c r="J111" s="1">
        <v>20000</v>
      </c>
      <c r="K111" s="267">
        <v>46076</v>
      </c>
      <c r="L111" s="267">
        <v>46087</v>
      </c>
      <c r="M111" s="1" t="str">
        <f t="shared" ca="1" si="10"/>
        <v>Open</v>
      </c>
      <c r="N111" s="98" t="s">
        <v>306</v>
      </c>
      <c r="O111" s="1" t="s">
        <v>305</v>
      </c>
    </row>
    <row r="112" spans="4:15" ht="54.95" customHeight="1" x14ac:dyDescent="0.25">
      <c r="D112" s="257">
        <v>101</v>
      </c>
      <c r="E112" s="1" t="s">
        <v>21</v>
      </c>
      <c r="F112" s="1" t="s">
        <v>52</v>
      </c>
      <c r="G112" s="1" t="s">
        <v>312</v>
      </c>
      <c r="H112" s="1">
        <f t="shared" si="11"/>
        <v>0.13120000000000001</v>
      </c>
      <c r="I112" s="1">
        <v>1312000</v>
      </c>
      <c r="J112" s="1">
        <v>31000</v>
      </c>
      <c r="K112" s="267">
        <v>46081</v>
      </c>
      <c r="L112" s="267">
        <v>46097</v>
      </c>
      <c r="M112" s="1" t="str">
        <f t="shared" ca="1" si="10"/>
        <v>Open</v>
      </c>
      <c r="N112" s="99" t="s">
        <v>311</v>
      </c>
      <c r="O112" s="1" t="s">
        <v>310</v>
      </c>
    </row>
    <row r="113" spans="4:15" ht="54.95" customHeight="1" x14ac:dyDescent="0.25">
      <c r="D113" s="257">
        <v>102</v>
      </c>
      <c r="E113" s="1" t="s">
        <v>316</v>
      </c>
      <c r="F113" s="1" t="s">
        <v>144</v>
      </c>
      <c r="G113" s="1" t="s">
        <v>315</v>
      </c>
      <c r="H113" s="1">
        <f t="shared" si="11"/>
        <v>1.2</v>
      </c>
      <c r="I113" s="1">
        <v>12000000</v>
      </c>
      <c r="J113" s="1">
        <v>509999.99999999994</v>
      </c>
      <c r="K113" s="267">
        <v>46080</v>
      </c>
      <c r="L113" s="267">
        <v>46097</v>
      </c>
      <c r="M113" s="1" t="str">
        <f t="shared" ca="1" si="10"/>
        <v>Open</v>
      </c>
      <c r="N113" s="100" t="s">
        <v>314</v>
      </c>
      <c r="O113" s="1" t="s">
        <v>313</v>
      </c>
    </row>
    <row r="114" spans="4:15" ht="54.95" customHeight="1" x14ac:dyDescent="0.25">
      <c r="D114" s="257">
        <v>103</v>
      </c>
      <c r="E114" s="1" t="s">
        <v>54</v>
      </c>
      <c r="F114" s="1" t="s">
        <v>63</v>
      </c>
      <c r="G114" s="1" t="s">
        <v>319</v>
      </c>
      <c r="H114" s="1">
        <f t="shared" si="11"/>
        <v>0.39960000000000001</v>
      </c>
      <c r="I114" s="1">
        <v>3996000</v>
      </c>
      <c r="J114" s="1">
        <v>100000</v>
      </c>
      <c r="K114" s="267">
        <v>46080</v>
      </c>
      <c r="L114" s="267">
        <v>46097</v>
      </c>
      <c r="M114" s="1" t="str">
        <f t="shared" ca="1" si="10"/>
        <v>Open</v>
      </c>
      <c r="N114" s="101" t="s">
        <v>318</v>
      </c>
      <c r="O114" s="1" t="s">
        <v>317</v>
      </c>
    </row>
    <row r="115" spans="4:15" ht="54.95" customHeight="1" x14ac:dyDescent="0.25">
      <c r="D115" s="257">
        <v>104</v>
      </c>
      <c r="E115" s="1" t="s">
        <v>101</v>
      </c>
      <c r="F115" s="1" t="s">
        <v>29</v>
      </c>
      <c r="G115" s="1" t="s">
        <v>322</v>
      </c>
      <c r="H115" s="1">
        <f t="shared" si="11"/>
        <v>4.3499999999999997E-3</v>
      </c>
      <c r="I115" s="1">
        <v>43500</v>
      </c>
      <c r="J115" s="1">
        <f t="shared" ref="J115:J122" si="13">I115*2%</f>
        <v>870</v>
      </c>
      <c r="K115" s="267">
        <v>46078</v>
      </c>
      <c r="L115" s="267">
        <v>46098</v>
      </c>
      <c r="M115" s="1" t="str">
        <f t="shared" ca="1" si="10"/>
        <v>Open</v>
      </c>
      <c r="N115" s="102" t="s">
        <v>321</v>
      </c>
      <c r="O115" s="1" t="s">
        <v>320</v>
      </c>
    </row>
    <row r="116" spans="4:15" ht="54.95" customHeight="1" x14ac:dyDescent="0.25">
      <c r="D116" s="257">
        <v>105</v>
      </c>
      <c r="E116" s="1" t="s">
        <v>101</v>
      </c>
      <c r="F116" s="1" t="s">
        <v>29</v>
      </c>
      <c r="G116" s="1" t="s">
        <v>324</v>
      </c>
      <c r="H116" s="1">
        <f t="shared" si="11"/>
        <v>1.5900000000000001E-3</v>
      </c>
      <c r="I116" s="1">
        <v>15900</v>
      </c>
      <c r="J116" s="1">
        <f t="shared" si="13"/>
        <v>318</v>
      </c>
      <c r="K116" s="267">
        <v>46078</v>
      </c>
      <c r="L116" s="267">
        <v>46098</v>
      </c>
      <c r="M116" s="1" t="str">
        <f t="shared" ca="1" si="10"/>
        <v>Open</v>
      </c>
      <c r="N116" s="103" t="s">
        <v>323</v>
      </c>
      <c r="O116" s="1" t="s">
        <v>320</v>
      </c>
    </row>
    <row r="117" spans="4:15" ht="54.95" customHeight="1" x14ac:dyDescent="0.25">
      <c r="D117" s="257">
        <v>106</v>
      </c>
      <c r="E117" s="1" t="s">
        <v>101</v>
      </c>
      <c r="F117" s="1" t="s">
        <v>29</v>
      </c>
      <c r="G117" s="1" t="s">
        <v>326</v>
      </c>
      <c r="H117" s="1">
        <f t="shared" si="11"/>
        <v>8.2699999999999996E-3</v>
      </c>
      <c r="I117" s="1">
        <v>82700</v>
      </c>
      <c r="J117" s="1">
        <f t="shared" si="13"/>
        <v>1654</v>
      </c>
      <c r="K117" s="267">
        <v>46078</v>
      </c>
      <c r="L117" s="267">
        <v>46098</v>
      </c>
      <c r="M117" s="1" t="str">
        <f t="shared" ca="1" si="10"/>
        <v>Open</v>
      </c>
      <c r="N117" s="104" t="s">
        <v>325</v>
      </c>
      <c r="O117" s="1" t="s">
        <v>320</v>
      </c>
    </row>
    <row r="118" spans="4:15" ht="54.95" customHeight="1" x14ac:dyDescent="0.25">
      <c r="D118" s="257">
        <v>107</v>
      </c>
      <c r="E118" s="1" t="s">
        <v>101</v>
      </c>
      <c r="F118" s="1" t="s">
        <v>29</v>
      </c>
      <c r="G118" s="1" t="s">
        <v>328</v>
      </c>
      <c r="H118" s="1">
        <f t="shared" si="11"/>
        <v>4.7600000000000003E-3</v>
      </c>
      <c r="I118" s="1">
        <v>47600</v>
      </c>
      <c r="J118" s="1">
        <f t="shared" si="13"/>
        <v>952</v>
      </c>
      <c r="K118" s="267">
        <v>46078</v>
      </c>
      <c r="L118" s="267">
        <v>46098</v>
      </c>
      <c r="M118" s="1" t="str">
        <f t="shared" ca="1" si="10"/>
        <v>Open</v>
      </c>
      <c r="N118" s="105" t="s">
        <v>327</v>
      </c>
      <c r="O118" s="1" t="s">
        <v>320</v>
      </c>
    </row>
    <row r="119" spans="4:15" ht="54.95" customHeight="1" x14ac:dyDescent="0.25">
      <c r="D119" s="257">
        <v>108</v>
      </c>
      <c r="E119" s="1" t="s">
        <v>101</v>
      </c>
      <c r="F119" s="1" t="s">
        <v>29</v>
      </c>
      <c r="G119" s="1" t="s">
        <v>330</v>
      </c>
      <c r="H119" s="1">
        <f t="shared" si="11"/>
        <v>9.025E-3</v>
      </c>
      <c r="I119" s="1">
        <v>90250</v>
      </c>
      <c r="J119" s="1">
        <f t="shared" si="13"/>
        <v>1805</v>
      </c>
      <c r="K119" s="267">
        <v>46078</v>
      </c>
      <c r="L119" s="267">
        <v>46098</v>
      </c>
      <c r="M119" s="1" t="str">
        <f t="shared" ca="1" si="10"/>
        <v>Open</v>
      </c>
      <c r="N119" s="106" t="s">
        <v>329</v>
      </c>
      <c r="O119" s="1" t="s">
        <v>320</v>
      </c>
    </row>
    <row r="120" spans="4:15" ht="54.95" customHeight="1" x14ac:dyDescent="0.25">
      <c r="D120" s="257">
        <v>109</v>
      </c>
      <c r="E120" s="1" t="s">
        <v>101</v>
      </c>
      <c r="F120" s="1" t="s">
        <v>29</v>
      </c>
      <c r="G120" s="1" t="s">
        <v>332</v>
      </c>
      <c r="H120" s="1">
        <f t="shared" si="11"/>
        <v>2.0100000000000001E-3</v>
      </c>
      <c r="I120" s="1">
        <v>20100</v>
      </c>
      <c r="J120" s="1">
        <f t="shared" si="13"/>
        <v>402</v>
      </c>
      <c r="K120" s="267">
        <v>46078</v>
      </c>
      <c r="L120" s="267">
        <v>46098</v>
      </c>
      <c r="M120" s="1" t="str">
        <f t="shared" ca="1" si="10"/>
        <v>Open</v>
      </c>
      <c r="N120" s="107" t="s">
        <v>331</v>
      </c>
      <c r="O120" s="1" t="s">
        <v>320</v>
      </c>
    </row>
    <row r="121" spans="4:15" ht="54.95" customHeight="1" x14ac:dyDescent="0.25">
      <c r="D121" s="257">
        <v>110</v>
      </c>
      <c r="E121" s="1" t="s">
        <v>101</v>
      </c>
      <c r="F121" s="1" t="s">
        <v>29</v>
      </c>
      <c r="G121" s="1" t="s">
        <v>334</v>
      </c>
      <c r="H121" s="1">
        <f t="shared" si="11"/>
        <v>5.9150000000000001E-3</v>
      </c>
      <c r="I121" s="1">
        <v>59150</v>
      </c>
      <c r="J121" s="1">
        <f t="shared" si="13"/>
        <v>1183</v>
      </c>
      <c r="K121" s="267">
        <v>46078</v>
      </c>
      <c r="L121" s="267">
        <v>46098</v>
      </c>
      <c r="M121" s="1" t="str">
        <f t="shared" ca="1" si="10"/>
        <v>Open</v>
      </c>
      <c r="N121" s="108" t="s">
        <v>333</v>
      </c>
      <c r="O121" s="1" t="s">
        <v>320</v>
      </c>
    </row>
    <row r="122" spans="4:15" ht="54.95" customHeight="1" x14ac:dyDescent="0.25">
      <c r="D122" s="257">
        <v>111</v>
      </c>
      <c r="E122" s="1" t="s">
        <v>101</v>
      </c>
      <c r="F122" s="1" t="s">
        <v>29</v>
      </c>
      <c r="G122" s="1" t="s">
        <v>336</v>
      </c>
      <c r="H122" s="1">
        <f t="shared" si="11"/>
        <v>6.4599999999999996E-3</v>
      </c>
      <c r="I122" s="1">
        <v>64599.999999999993</v>
      </c>
      <c r="J122" s="1">
        <f t="shared" si="13"/>
        <v>1291.9999999999998</v>
      </c>
      <c r="K122" s="267">
        <v>46078</v>
      </c>
      <c r="L122" s="267">
        <v>46098</v>
      </c>
      <c r="M122" s="1" t="str">
        <f t="shared" ca="1" si="10"/>
        <v>Open</v>
      </c>
      <c r="N122" s="109" t="s">
        <v>335</v>
      </c>
      <c r="O122" s="1" t="s">
        <v>320</v>
      </c>
    </row>
    <row r="123" spans="4:15" ht="54.95" customHeight="1" x14ac:dyDescent="0.25">
      <c r="D123" s="257">
        <v>112</v>
      </c>
      <c r="E123" s="1" t="s">
        <v>22</v>
      </c>
      <c r="F123" s="1" t="s">
        <v>18</v>
      </c>
      <c r="G123" s="1" t="s">
        <v>340</v>
      </c>
      <c r="H123" s="1">
        <f t="shared" si="11"/>
        <v>0.05</v>
      </c>
      <c r="I123" s="1">
        <f>J123*50</f>
        <v>500000</v>
      </c>
      <c r="J123" s="1">
        <v>10000</v>
      </c>
      <c r="K123" s="267">
        <v>46077</v>
      </c>
      <c r="L123" s="267">
        <v>46097</v>
      </c>
      <c r="M123" s="1" t="str">
        <f t="shared" ca="1" si="10"/>
        <v>Open</v>
      </c>
      <c r="N123" s="110" t="s">
        <v>338</v>
      </c>
      <c r="O123" s="1" t="s">
        <v>337</v>
      </c>
    </row>
    <row r="124" spans="4:15" ht="54.95" customHeight="1" x14ac:dyDescent="0.25">
      <c r="D124" s="257">
        <v>113</v>
      </c>
      <c r="E124" s="1" t="s">
        <v>125</v>
      </c>
      <c r="F124" s="1" t="s">
        <v>164</v>
      </c>
      <c r="G124" s="1" t="s">
        <v>343</v>
      </c>
      <c r="H124" s="1">
        <f t="shared" si="11"/>
        <v>3.9500000000000004E-3</v>
      </c>
      <c r="I124" s="1">
        <v>39500</v>
      </c>
      <c r="J124" s="1">
        <f t="shared" ref="J124:J125" si="14">I124*2%</f>
        <v>790</v>
      </c>
      <c r="K124" s="267">
        <v>46078</v>
      </c>
      <c r="L124" s="267">
        <v>46094</v>
      </c>
      <c r="M124" s="1" t="str">
        <f t="shared" ca="1" si="10"/>
        <v>Open</v>
      </c>
      <c r="N124" s="111" t="s">
        <v>342</v>
      </c>
      <c r="O124" s="1" t="s">
        <v>341</v>
      </c>
    </row>
    <row r="125" spans="4:15" ht="54.95" customHeight="1" x14ac:dyDescent="0.25">
      <c r="D125" s="257">
        <v>114</v>
      </c>
      <c r="E125" s="1" t="s">
        <v>101</v>
      </c>
      <c r="F125" s="1" t="s">
        <v>29</v>
      </c>
      <c r="G125" s="1" t="s">
        <v>346</v>
      </c>
      <c r="H125" s="1">
        <f t="shared" si="11"/>
        <v>1.5900000000000001E-3</v>
      </c>
      <c r="I125" s="1">
        <v>15900</v>
      </c>
      <c r="J125" s="1">
        <f t="shared" si="14"/>
        <v>318</v>
      </c>
      <c r="K125" s="267">
        <v>46078</v>
      </c>
      <c r="L125" s="267">
        <v>46098</v>
      </c>
      <c r="M125" s="1" t="str">
        <f t="shared" ca="1" si="10"/>
        <v>Open</v>
      </c>
      <c r="N125" s="112" t="s">
        <v>345</v>
      </c>
      <c r="O125" s="1" t="s">
        <v>344</v>
      </c>
    </row>
    <row r="126" spans="4:15" ht="54.95" customHeight="1" x14ac:dyDescent="0.25">
      <c r="D126" s="257">
        <v>115</v>
      </c>
      <c r="E126" s="1" t="s">
        <v>21</v>
      </c>
      <c r="F126" s="1" t="s">
        <v>18</v>
      </c>
      <c r="G126" s="1" t="s">
        <v>349</v>
      </c>
      <c r="H126" s="1">
        <f t="shared" si="11"/>
        <v>0.28999999999999998</v>
      </c>
      <c r="I126" s="1">
        <f>J126*50</f>
        <v>2900000</v>
      </c>
      <c r="J126" s="1">
        <v>58000</v>
      </c>
      <c r="K126" s="267">
        <v>46078</v>
      </c>
      <c r="L126" s="267">
        <v>46093</v>
      </c>
      <c r="M126" s="1" t="str">
        <f t="shared" ca="1" si="10"/>
        <v>Open</v>
      </c>
      <c r="N126" s="113" t="s">
        <v>348</v>
      </c>
      <c r="O126" s="1" t="s">
        <v>347</v>
      </c>
    </row>
    <row r="127" spans="4:15" ht="54.95" customHeight="1" x14ac:dyDescent="0.25">
      <c r="D127" s="257">
        <v>116</v>
      </c>
      <c r="E127" s="1" t="s">
        <v>22</v>
      </c>
      <c r="F127" s="1" t="s">
        <v>18</v>
      </c>
      <c r="G127" s="1" t="s">
        <v>353</v>
      </c>
      <c r="H127" s="1">
        <f t="shared" si="11"/>
        <v>0</v>
      </c>
      <c r="I127" s="1">
        <v>0</v>
      </c>
      <c r="J127" s="1">
        <v>0</v>
      </c>
      <c r="K127" s="267">
        <v>46077</v>
      </c>
      <c r="L127" s="267">
        <v>46088</v>
      </c>
      <c r="M127" s="1" t="str">
        <f t="shared" ca="1" si="10"/>
        <v>Open</v>
      </c>
      <c r="N127" s="114" t="s">
        <v>351</v>
      </c>
      <c r="O127" s="1" t="s">
        <v>350</v>
      </c>
    </row>
    <row r="128" spans="4:15" ht="54.95" customHeight="1" x14ac:dyDescent="0.25">
      <c r="D128" s="257">
        <v>117</v>
      </c>
      <c r="E128" s="1" t="s">
        <v>54</v>
      </c>
      <c r="F128" s="1" t="s">
        <v>63</v>
      </c>
      <c r="G128" s="1" t="s">
        <v>752</v>
      </c>
      <c r="H128" s="1">
        <f t="shared" si="11"/>
        <v>4.5624999999999999E-2</v>
      </c>
      <c r="I128" s="1">
        <v>456250</v>
      </c>
      <c r="J128" s="1">
        <f>I128*2%</f>
        <v>9125</v>
      </c>
      <c r="K128" s="267">
        <v>46078</v>
      </c>
      <c r="L128" s="267">
        <v>46087</v>
      </c>
      <c r="M128" s="1" t="str">
        <f t="shared" ca="1" si="10"/>
        <v>Open</v>
      </c>
      <c r="N128" s="115" t="s">
        <v>355</v>
      </c>
      <c r="O128" s="1" t="s">
        <v>354</v>
      </c>
    </row>
    <row r="129" spans="4:15" ht="54.95" customHeight="1" x14ac:dyDescent="0.25">
      <c r="D129" s="257">
        <v>118</v>
      </c>
      <c r="E129" s="1" t="s">
        <v>54</v>
      </c>
      <c r="F129" s="1" t="s">
        <v>63</v>
      </c>
      <c r="G129" s="1" t="s">
        <v>754</v>
      </c>
      <c r="H129" s="1">
        <f t="shared" si="11"/>
        <v>5.8379500000000001E-2</v>
      </c>
      <c r="I129" s="1">
        <v>583795</v>
      </c>
      <c r="J129" s="1">
        <f>I129*2%</f>
        <v>11675.9</v>
      </c>
      <c r="K129" s="267">
        <v>46078</v>
      </c>
      <c r="L129" s="267">
        <v>46087</v>
      </c>
      <c r="M129" s="1" t="str">
        <f t="shared" ca="1" si="10"/>
        <v>Open</v>
      </c>
      <c r="N129" s="116" t="s">
        <v>356</v>
      </c>
      <c r="O129" s="1" t="s">
        <v>753</v>
      </c>
    </row>
    <row r="130" spans="4:15" ht="54.95" customHeight="1" x14ac:dyDescent="0.25">
      <c r="D130" s="257">
        <v>119</v>
      </c>
      <c r="E130" s="1" t="s">
        <v>101</v>
      </c>
      <c r="F130" s="1" t="s">
        <v>29</v>
      </c>
      <c r="G130" s="1" t="s">
        <v>358</v>
      </c>
      <c r="H130" s="1">
        <f t="shared" si="11"/>
        <v>5.9150000000000001E-3</v>
      </c>
      <c r="I130" s="1">
        <v>59150</v>
      </c>
      <c r="J130" s="1">
        <f t="shared" ref="J130:J142" si="15">I130*2%</f>
        <v>1183</v>
      </c>
      <c r="K130" s="267">
        <v>46078</v>
      </c>
      <c r="L130" s="267">
        <v>46098</v>
      </c>
      <c r="M130" s="1" t="str">
        <f t="shared" ca="1" si="10"/>
        <v>Open</v>
      </c>
      <c r="N130" s="117" t="s">
        <v>357</v>
      </c>
      <c r="O130" s="1" t="s">
        <v>344</v>
      </c>
    </row>
    <row r="131" spans="4:15" ht="54.95" customHeight="1" x14ac:dyDescent="0.25">
      <c r="D131" s="257">
        <v>120</v>
      </c>
      <c r="E131" s="1" t="s">
        <v>101</v>
      </c>
      <c r="F131" s="1" t="s">
        <v>29</v>
      </c>
      <c r="G131" s="1" t="s">
        <v>360</v>
      </c>
      <c r="H131" s="1">
        <f t="shared" si="11"/>
        <v>4.3499999999999997E-3</v>
      </c>
      <c r="I131" s="1">
        <v>43500</v>
      </c>
      <c r="J131" s="1">
        <f t="shared" si="15"/>
        <v>870</v>
      </c>
      <c r="K131" s="267">
        <v>46078</v>
      </c>
      <c r="L131" s="267">
        <v>46098</v>
      </c>
      <c r="M131" s="1" t="str">
        <f t="shared" ca="1" si="10"/>
        <v>Open</v>
      </c>
      <c r="N131" s="118" t="s">
        <v>359</v>
      </c>
      <c r="O131" s="1" t="s">
        <v>344</v>
      </c>
    </row>
    <row r="132" spans="4:15" ht="54.95" customHeight="1" x14ac:dyDescent="0.25">
      <c r="D132" s="257">
        <v>121</v>
      </c>
      <c r="E132" s="1" t="s">
        <v>101</v>
      </c>
      <c r="F132" s="1" t="s">
        <v>29</v>
      </c>
      <c r="G132" s="1" t="s">
        <v>362</v>
      </c>
      <c r="H132" s="1">
        <f t="shared" si="11"/>
        <v>8.2699999999999996E-3</v>
      </c>
      <c r="I132" s="1">
        <v>82700</v>
      </c>
      <c r="J132" s="1">
        <f t="shared" si="15"/>
        <v>1654</v>
      </c>
      <c r="K132" s="267">
        <v>46078</v>
      </c>
      <c r="L132" s="267">
        <v>46098</v>
      </c>
      <c r="M132" s="1" t="str">
        <f t="shared" ca="1" si="10"/>
        <v>Open</v>
      </c>
      <c r="N132" s="119" t="s">
        <v>361</v>
      </c>
      <c r="O132" s="1" t="s">
        <v>344</v>
      </c>
    </row>
    <row r="133" spans="4:15" ht="54.95" customHeight="1" x14ac:dyDescent="0.25">
      <c r="D133" s="257">
        <v>122</v>
      </c>
      <c r="E133" s="1" t="s">
        <v>101</v>
      </c>
      <c r="F133" s="1" t="s">
        <v>29</v>
      </c>
      <c r="G133" s="1" t="s">
        <v>364</v>
      </c>
      <c r="H133" s="1">
        <f t="shared" si="11"/>
        <v>4.3600000000000002E-3</v>
      </c>
      <c r="I133" s="1">
        <v>43600</v>
      </c>
      <c r="J133" s="1">
        <f t="shared" si="15"/>
        <v>872</v>
      </c>
      <c r="K133" s="267">
        <v>46078</v>
      </c>
      <c r="L133" s="267">
        <v>46098</v>
      </c>
      <c r="M133" s="1" t="str">
        <f t="shared" ca="1" si="10"/>
        <v>Open</v>
      </c>
      <c r="N133" s="120" t="s">
        <v>363</v>
      </c>
      <c r="O133" s="1" t="s">
        <v>320</v>
      </c>
    </row>
    <row r="134" spans="4:15" ht="54.95" customHeight="1" x14ac:dyDescent="0.25">
      <c r="D134" s="257">
        <v>123</v>
      </c>
      <c r="E134" s="1" t="s">
        <v>54</v>
      </c>
      <c r="F134" s="1" t="s">
        <v>63</v>
      </c>
      <c r="G134" s="1" t="s">
        <v>367</v>
      </c>
      <c r="H134" s="1">
        <f t="shared" si="11"/>
        <v>0.20039999999999999</v>
      </c>
      <c r="I134" s="1">
        <v>2004000</v>
      </c>
      <c r="J134" s="1">
        <f t="shared" si="15"/>
        <v>40080</v>
      </c>
      <c r="K134" s="267">
        <v>46078</v>
      </c>
      <c r="L134" s="267">
        <v>46099</v>
      </c>
      <c r="M134" s="1" t="str">
        <f t="shared" ca="1" si="10"/>
        <v>Open</v>
      </c>
      <c r="N134" s="121" t="s">
        <v>366</v>
      </c>
      <c r="O134" s="1" t="s">
        <v>365</v>
      </c>
    </row>
    <row r="135" spans="4:15" ht="54.95" customHeight="1" x14ac:dyDescent="0.25">
      <c r="D135" s="257">
        <v>124</v>
      </c>
      <c r="E135" s="1" t="s">
        <v>101</v>
      </c>
      <c r="F135" s="1" t="s">
        <v>29</v>
      </c>
      <c r="G135" s="1" t="s">
        <v>369</v>
      </c>
      <c r="H135" s="1">
        <f t="shared" si="11"/>
        <v>9.7999999999999997E-3</v>
      </c>
      <c r="I135" s="1">
        <v>98000</v>
      </c>
      <c r="J135" s="1">
        <f t="shared" si="15"/>
        <v>1960</v>
      </c>
      <c r="K135" s="267">
        <v>46078</v>
      </c>
      <c r="L135" s="267">
        <v>46098</v>
      </c>
      <c r="M135" s="1" t="str">
        <f t="shared" ca="1" si="10"/>
        <v>Open</v>
      </c>
      <c r="N135" s="122" t="s">
        <v>368</v>
      </c>
      <c r="O135" s="1" t="s">
        <v>344</v>
      </c>
    </row>
    <row r="136" spans="4:15" ht="54.95" customHeight="1" x14ac:dyDescent="0.25">
      <c r="D136" s="257">
        <v>125</v>
      </c>
      <c r="E136" s="1" t="s">
        <v>101</v>
      </c>
      <c r="F136" s="1" t="s">
        <v>29</v>
      </c>
      <c r="G136" s="1" t="s">
        <v>371</v>
      </c>
      <c r="H136" s="1">
        <f t="shared" si="11"/>
        <v>4.3600000000000002E-3</v>
      </c>
      <c r="I136" s="1">
        <v>43600</v>
      </c>
      <c r="J136" s="1">
        <f t="shared" si="15"/>
        <v>872</v>
      </c>
      <c r="K136" s="267">
        <v>46078</v>
      </c>
      <c r="L136" s="267">
        <v>46098</v>
      </c>
      <c r="M136" s="1" t="str">
        <f t="shared" ca="1" si="10"/>
        <v>Open</v>
      </c>
      <c r="N136" s="123" t="s">
        <v>370</v>
      </c>
      <c r="O136" s="1" t="s">
        <v>344</v>
      </c>
    </row>
    <row r="137" spans="4:15" ht="54.95" customHeight="1" x14ac:dyDescent="0.25">
      <c r="D137" s="257">
        <v>126</v>
      </c>
      <c r="E137" s="1" t="s">
        <v>101</v>
      </c>
      <c r="F137" s="1" t="s">
        <v>29</v>
      </c>
      <c r="G137" s="1" t="s">
        <v>373</v>
      </c>
      <c r="H137" s="1">
        <f t="shared" si="11"/>
        <v>6.4599999999999996E-3</v>
      </c>
      <c r="I137" s="1">
        <v>64599.999999999993</v>
      </c>
      <c r="J137" s="1">
        <f t="shared" si="15"/>
        <v>1291.9999999999998</v>
      </c>
      <c r="K137" s="267">
        <v>46078</v>
      </c>
      <c r="L137" s="267">
        <v>46098</v>
      </c>
      <c r="M137" s="1" t="str">
        <f t="shared" ca="1" si="10"/>
        <v>Open</v>
      </c>
      <c r="N137" s="124" t="s">
        <v>372</v>
      </c>
      <c r="O137" s="1" t="s">
        <v>344</v>
      </c>
    </row>
    <row r="138" spans="4:15" ht="54.95" customHeight="1" x14ac:dyDescent="0.25">
      <c r="D138" s="257">
        <v>127</v>
      </c>
      <c r="E138" s="1" t="s">
        <v>101</v>
      </c>
      <c r="F138" s="1" t="s">
        <v>29</v>
      </c>
      <c r="G138" s="1" t="s">
        <v>375</v>
      </c>
      <c r="H138" s="1">
        <f t="shared" si="11"/>
        <v>2.0100000000000001E-3</v>
      </c>
      <c r="I138" s="1">
        <v>20100</v>
      </c>
      <c r="J138" s="1">
        <f t="shared" si="15"/>
        <v>402</v>
      </c>
      <c r="K138" s="267">
        <v>46078</v>
      </c>
      <c r="L138" s="267">
        <v>46098</v>
      </c>
      <c r="M138" s="1" t="str">
        <f t="shared" ca="1" si="10"/>
        <v>Open</v>
      </c>
      <c r="N138" s="125" t="s">
        <v>374</v>
      </c>
      <c r="O138" s="1" t="s">
        <v>344</v>
      </c>
    </row>
    <row r="139" spans="4:15" ht="54.95" customHeight="1" x14ac:dyDescent="0.25">
      <c r="D139" s="257">
        <v>128</v>
      </c>
      <c r="E139" s="1" t="s">
        <v>101</v>
      </c>
      <c r="F139" s="1" t="s">
        <v>29</v>
      </c>
      <c r="G139" s="1" t="s">
        <v>377</v>
      </c>
      <c r="H139" s="1">
        <f t="shared" si="11"/>
        <v>9.025E-3</v>
      </c>
      <c r="I139" s="1">
        <v>90250</v>
      </c>
      <c r="J139" s="1">
        <f t="shared" si="15"/>
        <v>1805</v>
      </c>
      <c r="K139" s="267">
        <v>46078</v>
      </c>
      <c r="L139" s="267">
        <v>46098</v>
      </c>
      <c r="M139" s="1" t="str">
        <f t="shared" ca="1" si="10"/>
        <v>Open</v>
      </c>
      <c r="N139" s="126" t="s">
        <v>376</v>
      </c>
      <c r="O139" s="1" t="s">
        <v>344</v>
      </c>
    </row>
    <row r="140" spans="4:15" ht="54.95" customHeight="1" x14ac:dyDescent="0.25">
      <c r="D140" s="257">
        <v>129</v>
      </c>
      <c r="E140" s="1" t="s">
        <v>54</v>
      </c>
      <c r="F140" s="1" t="s">
        <v>63</v>
      </c>
      <c r="G140" s="1" t="s">
        <v>380</v>
      </c>
      <c r="H140" s="1">
        <f t="shared" si="11"/>
        <v>0.20100000000000001</v>
      </c>
      <c r="I140" s="1">
        <v>2010000.0000000002</v>
      </c>
      <c r="J140" s="1">
        <f t="shared" si="15"/>
        <v>40200.000000000007</v>
      </c>
      <c r="K140" s="267">
        <v>46077</v>
      </c>
      <c r="L140" s="267">
        <v>46099</v>
      </c>
      <c r="M140" s="1" t="str">
        <f t="shared" ref="M140:M203" ca="1" si="16">IF(L140&lt;$I$7,"Closed",IF(L140&gt;$I$7,"Open",IF(L140=$I$7,"Closing Today","NA")))</f>
        <v>Open</v>
      </c>
      <c r="N140" s="127" t="s">
        <v>379</v>
      </c>
      <c r="O140" s="1" t="s">
        <v>378</v>
      </c>
    </row>
    <row r="141" spans="4:15" ht="54.95" customHeight="1" x14ac:dyDescent="0.25">
      <c r="D141" s="257">
        <v>130</v>
      </c>
      <c r="E141" s="1" t="s">
        <v>125</v>
      </c>
      <c r="F141" s="1" t="s">
        <v>164</v>
      </c>
      <c r="G141" s="1" t="s">
        <v>382</v>
      </c>
      <c r="H141" s="1">
        <f t="shared" si="11"/>
        <v>4.4000000000000003E-3</v>
      </c>
      <c r="I141" s="1">
        <v>44000</v>
      </c>
      <c r="J141" s="1">
        <f t="shared" si="15"/>
        <v>880</v>
      </c>
      <c r="K141" s="267">
        <v>46078</v>
      </c>
      <c r="L141" s="267">
        <v>46094</v>
      </c>
      <c r="M141" s="1" t="str">
        <f t="shared" ca="1" si="16"/>
        <v>Open</v>
      </c>
      <c r="N141" s="128" t="s">
        <v>381</v>
      </c>
      <c r="O141" s="1" t="s">
        <v>341</v>
      </c>
    </row>
    <row r="142" spans="4:15" ht="54.95" customHeight="1" x14ac:dyDescent="0.25">
      <c r="D142" s="257">
        <v>131</v>
      </c>
      <c r="E142" s="1" t="s">
        <v>125</v>
      </c>
      <c r="F142" s="1" t="s">
        <v>164</v>
      </c>
      <c r="G142" s="1" t="s">
        <v>384</v>
      </c>
      <c r="H142" s="1">
        <f t="shared" si="11"/>
        <v>3.3500000000000001E-3</v>
      </c>
      <c r="I142" s="1">
        <v>33500</v>
      </c>
      <c r="J142" s="1">
        <f t="shared" si="15"/>
        <v>670</v>
      </c>
      <c r="K142" s="267">
        <v>46078</v>
      </c>
      <c r="L142" s="267">
        <v>46094</v>
      </c>
      <c r="M142" s="1" t="str">
        <f t="shared" ca="1" si="16"/>
        <v>Open</v>
      </c>
      <c r="N142" s="129" t="s">
        <v>383</v>
      </c>
      <c r="O142" s="1" t="s">
        <v>341</v>
      </c>
    </row>
    <row r="143" spans="4:15" ht="54.95" customHeight="1" x14ac:dyDescent="0.25">
      <c r="D143" s="257">
        <v>132</v>
      </c>
      <c r="E143" s="1" t="s">
        <v>101</v>
      </c>
      <c r="F143" s="1" t="s">
        <v>18</v>
      </c>
      <c r="G143" s="1" t="s">
        <v>387</v>
      </c>
      <c r="H143" s="1">
        <f t="shared" ref="H143:H209" si="17">I143/10000000</f>
        <v>0</v>
      </c>
      <c r="I143" s="1">
        <v>0</v>
      </c>
      <c r="J143" s="1">
        <v>0</v>
      </c>
      <c r="K143" s="267">
        <v>46078</v>
      </c>
      <c r="L143" s="267">
        <v>46087</v>
      </c>
      <c r="M143" s="1" t="str">
        <f t="shared" ca="1" si="16"/>
        <v>Open</v>
      </c>
      <c r="N143" s="130" t="s">
        <v>386</v>
      </c>
      <c r="O143" s="1" t="s">
        <v>385</v>
      </c>
    </row>
    <row r="144" spans="4:15" ht="54.95" customHeight="1" x14ac:dyDescent="0.25">
      <c r="D144" s="257">
        <v>133</v>
      </c>
      <c r="E144" s="1" t="s">
        <v>125</v>
      </c>
      <c r="F144" s="1" t="s">
        <v>164</v>
      </c>
      <c r="G144" s="1" t="s">
        <v>389</v>
      </c>
      <c r="H144" s="1">
        <f t="shared" si="17"/>
        <v>8.0000000000000004E-4</v>
      </c>
      <c r="I144" s="1">
        <v>8000</v>
      </c>
      <c r="J144" s="1">
        <f t="shared" ref="J144:J145" si="18">I144*2%</f>
        <v>160</v>
      </c>
      <c r="K144" s="267">
        <v>46078</v>
      </c>
      <c r="L144" s="267">
        <v>46094</v>
      </c>
      <c r="M144" s="1" t="str">
        <f t="shared" ca="1" si="16"/>
        <v>Open</v>
      </c>
      <c r="N144" s="131" t="s">
        <v>388</v>
      </c>
      <c r="O144" s="1" t="s">
        <v>341</v>
      </c>
    </row>
    <row r="145" spans="4:15" ht="54.95" customHeight="1" x14ac:dyDescent="0.25">
      <c r="D145" s="257">
        <v>134</v>
      </c>
      <c r="E145" s="1" t="s">
        <v>101</v>
      </c>
      <c r="F145" s="1" t="s">
        <v>29</v>
      </c>
      <c r="G145" s="1" t="s">
        <v>391</v>
      </c>
      <c r="H145" s="1">
        <f t="shared" si="17"/>
        <v>9.7999999999999997E-3</v>
      </c>
      <c r="I145" s="1">
        <v>98000</v>
      </c>
      <c r="J145" s="1">
        <f t="shared" si="18"/>
        <v>1960</v>
      </c>
      <c r="K145" s="267">
        <v>46078</v>
      </c>
      <c r="L145" s="267">
        <v>46098</v>
      </c>
      <c r="M145" s="1" t="str">
        <f t="shared" ca="1" si="16"/>
        <v>Open</v>
      </c>
      <c r="N145" s="132" t="s">
        <v>390</v>
      </c>
      <c r="O145" s="1" t="s">
        <v>320</v>
      </c>
    </row>
    <row r="146" spans="4:15" ht="54.95" customHeight="1" x14ac:dyDescent="0.25">
      <c r="D146" s="257">
        <v>135</v>
      </c>
      <c r="E146" s="1" t="s">
        <v>101</v>
      </c>
      <c r="F146" s="1" t="s">
        <v>18</v>
      </c>
      <c r="G146" s="1" t="s">
        <v>394</v>
      </c>
      <c r="H146" s="1">
        <f t="shared" si="17"/>
        <v>0</v>
      </c>
      <c r="I146" s="1">
        <v>0</v>
      </c>
      <c r="J146" s="1">
        <v>0</v>
      </c>
      <c r="K146" s="267">
        <v>46078</v>
      </c>
      <c r="L146" s="267">
        <v>46087</v>
      </c>
      <c r="M146" s="1" t="str">
        <f t="shared" ca="1" si="16"/>
        <v>Open</v>
      </c>
      <c r="N146" s="133" t="s">
        <v>393</v>
      </c>
      <c r="O146" s="1" t="s">
        <v>392</v>
      </c>
    </row>
    <row r="147" spans="4:15" ht="54.95" customHeight="1" x14ac:dyDescent="0.25">
      <c r="D147" s="257">
        <v>136</v>
      </c>
      <c r="E147" s="1" t="s">
        <v>54</v>
      </c>
      <c r="F147" s="1" t="s">
        <v>63</v>
      </c>
      <c r="G147" s="1" t="s">
        <v>397</v>
      </c>
      <c r="H147" s="1">
        <f t="shared" si="17"/>
        <v>0.20039999999999999</v>
      </c>
      <c r="I147" s="1">
        <v>2004000</v>
      </c>
      <c r="J147" s="1">
        <f t="shared" ref="J147:J148" si="19">I147*2%</f>
        <v>40080</v>
      </c>
      <c r="K147" s="267">
        <v>46078</v>
      </c>
      <c r="L147" s="267">
        <v>46099</v>
      </c>
      <c r="M147" s="1" t="str">
        <f t="shared" ca="1" si="16"/>
        <v>Open</v>
      </c>
      <c r="N147" s="134" t="s">
        <v>396</v>
      </c>
      <c r="O147" s="1" t="s">
        <v>395</v>
      </c>
    </row>
    <row r="148" spans="4:15" ht="54.95" customHeight="1" x14ac:dyDescent="0.25">
      <c r="D148" s="257">
        <v>137</v>
      </c>
      <c r="E148" s="1" t="s">
        <v>101</v>
      </c>
      <c r="F148" s="1" t="s">
        <v>29</v>
      </c>
      <c r="G148" s="1" t="s">
        <v>399</v>
      </c>
      <c r="H148" s="1">
        <f t="shared" si="17"/>
        <v>4.7600000000000003E-3</v>
      </c>
      <c r="I148" s="1">
        <v>47600</v>
      </c>
      <c r="J148" s="1">
        <f t="shared" si="19"/>
        <v>952</v>
      </c>
      <c r="K148" s="267">
        <v>46078</v>
      </c>
      <c r="L148" s="267">
        <v>46098</v>
      </c>
      <c r="M148" s="1" t="str">
        <f t="shared" ca="1" si="16"/>
        <v>Open</v>
      </c>
      <c r="N148" s="135" t="s">
        <v>398</v>
      </c>
      <c r="O148" s="1" t="s">
        <v>344</v>
      </c>
    </row>
    <row r="149" spans="4:15" ht="54.95" customHeight="1" x14ac:dyDescent="0.25">
      <c r="D149" s="257">
        <v>138</v>
      </c>
      <c r="E149" s="1" t="s">
        <v>403</v>
      </c>
      <c r="F149" s="1" t="s">
        <v>164</v>
      </c>
      <c r="G149" s="1" t="s">
        <v>402</v>
      </c>
      <c r="H149" s="1">
        <f t="shared" si="17"/>
        <v>1.85</v>
      </c>
      <c r="I149" s="1">
        <v>18500000</v>
      </c>
      <c r="J149" s="1">
        <v>370000</v>
      </c>
      <c r="K149" s="267">
        <v>46080</v>
      </c>
      <c r="L149" s="267">
        <v>46099</v>
      </c>
      <c r="M149" s="1" t="str">
        <f t="shared" ca="1" si="16"/>
        <v>Open</v>
      </c>
      <c r="N149" s="136" t="s">
        <v>401</v>
      </c>
      <c r="O149" s="1" t="s">
        <v>400</v>
      </c>
    </row>
    <row r="150" spans="4:15" ht="54.95" customHeight="1" x14ac:dyDescent="0.25">
      <c r="D150" s="257">
        <v>139</v>
      </c>
      <c r="E150" s="1" t="s">
        <v>54</v>
      </c>
      <c r="F150" s="1" t="s">
        <v>18</v>
      </c>
      <c r="G150" s="1" t="s">
        <v>406</v>
      </c>
      <c r="H150" s="1">
        <f t="shared" si="17"/>
        <v>0.16100000000000003</v>
      </c>
      <c r="I150" s="1">
        <v>1610000.0000000002</v>
      </c>
      <c r="J150" s="1">
        <v>48500</v>
      </c>
      <c r="K150" s="267">
        <v>46080</v>
      </c>
      <c r="L150" s="267">
        <v>46092</v>
      </c>
      <c r="M150" s="1" t="str">
        <f t="shared" ca="1" si="16"/>
        <v>Open</v>
      </c>
      <c r="N150" s="137" t="s">
        <v>405</v>
      </c>
      <c r="O150" s="1" t="s">
        <v>404</v>
      </c>
    </row>
    <row r="151" spans="4:15" ht="54.95" customHeight="1" x14ac:dyDescent="0.25">
      <c r="D151" s="257">
        <v>140</v>
      </c>
      <c r="E151" s="1" t="s">
        <v>54</v>
      </c>
      <c r="F151" s="1" t="s">
        <v>63</v>
      </c>
      <c r="G151" s="1" t="s">
        <v>409</v>
      </c>
      <c r="H151" s="1">
        <f t="shared" si="17"/>
        <v>0.28749999999999998</v>
      </c>
      <c r="I151" s="1">
        <v>2875000</v>
      </c>
      <c r="J151" s="1">
        <v>71900</v>
      </c>
      <c r="K151" s="267">
        <v>46080</v>
      </c>
      <c r="L151" s="267">
        <v>46094</v>
      </c>
      <c r="M151" s="1" t="str">
        <f t="shared" ca="1" si="16"/>
        <v>Open</v>
      </c>
      <c r="N151" s="138" t="s">
        <v>408</v>
      </c>
      <c r="O151" s="1" t="s">
        <v>407</v>
      </c>
    </row>
    <row r="152" spans="4:15" ht="54.95" customHeight="1" x14ac:dyDescent="0.25">
      <c r="D152" s="257">
        <v>141</v>
      </c>
      <c r="E152" s="1" t="s">
        <v>21</v>
      </c>
      <c r="F152" s="1" t="s">
        <v>18</v>
      </c>
      <c r="G152" s="1" t="s">
        <v>412</v>
      </c>
      <c r="H152" s="1">
        <f t="shared" si="17"/>
        <v>1.91</v>
      </c>
      <c r="I152" s="1">
        <v>19100000</v>
      </c>
      <c r="J152" s="1">
        <v>383000</v>
      </c>
      <c r="K152" s="267">
        <v>46080</v>
      </c>
      <c r="L152" s="267">
        <v>46093</v>
      </c>
      <c r="M152" s="1" t="str">
        <f t="shared" ca="1" si="16"/>
        <v>Open</v>
      </c>
      <c r="N152" s="139" t="s">
        <v>411</v>
      </c>
      <c r="O152" s="1" t="s">
        <v>410</v>
      </c>
    </row>
    <row r="153" spans="4:15" ht="54.95" customHeight="1" x14ac:dyDescent="0.25">
      <c r="D153" s="257">
        <v>142</v>
      </c>
      <c r="E153" s="1" t="s">
        <v>141</v>
      </c>
      <c r="F153" s="1" t="s">
        <v>18</v>
      </c>
      <c r="G153" s="1" t="s">
        <v>415</v>
      </c>
      <c r="H153" s="1">
        <f t="shared" si="17"/>
        <v>3.2199999999999999E-2</v>
      </c>
      <c r="I153" s="1">
        <v>322000</v>
      </c>
      <c r="J153" s="1">
        <v>13000</v>
      </c>
      <c r="K153" s="267">
        <v>46080</v>
      </c>
      <c r="L153" s="267">
        <v>46094</v>
      </c>
      <c r="M153" s="1" t="str">
        <f t="shared" ca="1" si="16"/>
        <v>Open</v>
      </c>
      <c r="N153" s="140" t="s">
        <v>414</v>
      </c>
      <c r="O153" s="1" t="s">
        <v>413</v>
      </c>
    </row>
    <row r="154" spans="4:15" ht="54.95" customHeight="1" x14ac:dyDescent="0.25">
      <c r="D154" s="257">
        <v>143</v>
      </c>
      <c r="E154" s="1" t="s">
        <v>54</v>
      </c>
      <c r="F154" s="1" t="s">
        <v>63</v>
      </c>
      <c r="G154" s="1" t="s">
        <v>418</v>
      </c>
      <c r="H154" s="1">
        <f t="shared" si="17"/>
        <v>0.34409999999999996</v>
      </c>
      <c r="I154" s="1">
        <v>3440999.9999999995</v>
      </c>
      <c r="J154" s="1">
        <v>86100</v>
      </c>
      <c r="K154" s="267">
        <v>46079</v>
      </c>
      <c r="L154" s="267">
        <v>46099</v>
      </c>
      <c r="M154" s="1" t="str">
        <f t="shared" ca="1" si="16"/>
        <v>Open</v>
      </c>
      <c r="N154" s="141" t="s">
        <v>417</v>
      </c>
      <c r="O154" s="1" t="s">
        <v>416</v>
      </c>
    </row>
    <row r="155" spans="4:15" ht="54.95" customHeight="1" x14ac:dyDescent="0.25">
      <c r="D155" s="257">
        <v>144</v>
      </c>
      <c r="E155" s="1" t="s">
        <v>54</v>
      </c>
      <c r="F155" s="1" t="s">
        <v>164</v>
      </c>
      <c r="G155" s="1" t="s">
        <v>421</v>
      </c>
      <c r="H155" s="1">
        <f t="shared" si="17"/>
        <v>3.87</v>
      </c>
      <c r="I155" s="1">
        <v>38700000</v>
      </c>
      <c r="J155" s="1">
        <v>774000</v>
      </c>
      <c r="K155" s="267">
        <v>46079</v>
      </c>
      <c r="L155" s="267">
        <v>46104</v>
      </c>
      <c r="M155" s="1" t="str">
        <f t="shared" ca="1" si="16"/>
        <v>Open</v>
      </c>
      <c r="N155" s="142" t="s">
        <v>420</v>
      </c>
      <c r="O155" s="1" t="s">
        <v>419</v>
      </c>
    </row>
    <row r="156" spans="4:15" ht="54.95" customHeight="1" x14ac:dyDescent="0.25">
      <c r="D156" s="257">
        <v>145</v>
      </c>
      <c r="E156" s="1" t="s">
        <v>101</v>
      </c>
      <c r="F156" s="1" t="s">
        <v>29</v>
      </c>
      <c r="G156" s="1" t="s">
        <v>424</v>
      </c>
      <c r="H156" s="1">
        <f t="shared" si="17"/>
        <v>0.21149999999999999</v>
      </c>
      <c r="I156" s="1">
        <f t="shared" ref="I156:I158" si="20">J156*50</f>
        <v>2115000</v>
      </c>
      <c r="J156" s="1">
        <v>42300</v>
      </c>
      <c r="K156" s="267">
        <v>46077</v>
      </c>
      <c r="L156" s="267">
        <v>46097</v>
      </c>
      <c r="M156" s="1" t="str">
        <f t="shared" ca="1" si="16"/>
        <v>Open</v>
      </c>
      <c r="N156" s="143" t="s">
        <v>423</v>
      </c>
      <c r="O156" s="1" t="s">
        <v>422</v>
      </c>
    </row>
    <row r="157" spans="4:15" ht="54.95" customHeight="1" x14ac:dyDescent="0.25">
      <c r="D157" s="257">
        <v>146</v>
      </c>
      <c r="E157" s="1" t="s">
        <v>101</v>
      </c>
      <c r="F157" s="1" t="s">
        <v>29</v>
      </c>
      <c r="G157" s="1" t="s">
        <v>424</v>
      </c>
      <c r="H157" s="1">
        <f t="shared" si="17"/>
        <v>0.14799999999999999</v>
      </c>
      <c r="I157" s="1">
        <f t="shared" si="20"/>
        <v>1480000</v>
      </c>
      <c r="J157" s="1">
        <v>29600</v>
      </c>
      <c r="K157" s="267">
        <v>46077</v>
      </c>
      <c r="L157" s="267">
        <v>46097</v>
      </c>
      <c r="M157" s="1" t="str">
        <f t="shared" ca="1" si="16"/>
        <v>Open</v>
      </c>
      <c r="N157" s="144" t="s">
        <v>425</v>
      </c>
      <c r="O157" s="1" t="s">
        <v>422</v>
      </c>
    </row>
    <row r="158" spans="4:15" ht="54.95" customHeight="1" x14ac:dyDescent="0.25">
      <c r="D158" s="257">
        <v>147</v>
      </c>
      <c r="E158" s="1" t="s">
        <v>101</v>
      </c>
      <c r="F158" s="1" t="s">
        <v>29</v>
      </c>
      <c r="G158" s="1" t="s">
        <v>424</v>
      </c>
      <c r="H158" s="1">
        <f t="shared" si="17"/>
        <v>0.35949999999999999</v>
      </c>
      <c r="I158" s="1">
        <f t="shared" si="20"/>
        <v>3595000</v>
      </c>
      <c r="J158" s="1">
        <v>71900</v>
      </c>
      <c r="K158" s="267">
        <v>46077</v>
      </c>
      <c r="L158" s="267">
        <v>46097</v>
      </c>
      <c r="M158" s="1" t="str">
        <f t="shared" ca="1" si="16"/>
        <v>Open</v>
      </c>
      <c r="N158" s="145" t="s">
        <v>426</v>
      </c>
      <c r="O158" s="1" t="s">
        <v>422</v>
      </c>
    </row>
    <row r="159" spans="4:15" ht="54.95" customHeight="1" x14ac:dyDescent="0.25">
      <c r="D159" s="257">
        <v>148</v>
      </c>
      <c r="E159" s="1" t="s">
        <v>65</v>
      </c>
      <c r="F159" s="1" t="s">
        <v>63</v>
      </c>
      <c r="G159" s="1" t="s">
        <v>429</v>
      </c>
      <c r="H159" s="1">
        <f t="shared" si="17"/>
        <v>7.9799999999999996E-2</v>
      </c>
      <c r="I159" s="1">
        <v>798000</v>
      </c>
      <c r="J159" s="1">
        <f>I159*2%</f>
        <v>15960</v>
      </c>
      <c r="K159" s="267">
        <v>46077</v>
      </c>
      <c r="L159" s="267">
        <v>46098</v>
      </c>
      <c r="M159" s="1" t="str">
        <f t="shared" ca="1" si="16"/>
        <v>Open</v>
      </c>
      <c r="N159" s="146" t="s">
        <v>428</v>
      </c>
      <c r="O159" s="1" t="s">
        <v>427</v>
      </c>
    </row>
    <row r="160" spans="4:15" ht="54.95" customHeight="1" x14ac:dyDescent="0.25">
      <c r="D160" s="257">
        <v>149</v>
      </c>
      <c r="E160" s="1" t="s">
        <v>101</v>
      </c>
      <c r="F160" s="1" t="s">
        <v>29</v>
      </c>
      <c r="G160" s="1" t="s">
        <v>424</v>
      </c>
      <c r="H160" s="1">
        <f t="shared" si="17"/>
        <v>0.254</v>
      </c>
      <c r="I160" s="1">
        <f t="shared" ref="I160:I163" si="21">J160*50</f>
        <v>2540000</v>
      </c>
      <c r="J160" s="1">
        <v>50800</v>
      </c>
      <c r="K160" s="267">
        <v>46077</v>
      </c>
      <c r="L160" s="267">
        <v>46097</v>
      </c>
      <c r="M160" s="1" t="str">
        <f t="shared" ca="1" si="16"/>
        <v>Open</v>
      </c>
      <c r="N160" s="147" t="s">
        <v>430</v>
      </c>
      <c r="O160" s="1" t="s">
        <v>422</v>
      </c>
    </row>
    <row r="161" spans="4:15" ht="54.95" customHeight="1" x14ac:dyDescent="0.25">
      <c r="D161" s="257">
        <v>150</v>
      </c>
      <c r="E161" s="1" t="s">
        <v>101</v>
      </c>
      <c r="F161" s="1" t="s">
        <v>29</v>
      </c>
      <c r="G161" s="1" t="s">
        <v>433</v>
      </c>
      <c r="H161" s="1">
        <f t="shared" si="17"/>
        <v>0.14799999999999999</v>
      </c>
      <c r="I161" s="1">
        <f t="shared" si="21"/>
        <v>1480000</v>
      </c>
      <c r="J161" s="1">
        <v>29600</v>
      </c>
      <c r="K161" s="267">
        <v>46077</v>
      </c>
      <c r="L161" s="267">
        <v>46097</v>
      </c>
      <c r="M161" s="1" t="str">
        <f t="shared" ca="1" si="16"/>
        <v>Open</v>
      </c>
      <c r="N161" s="148" t="s">
        <v>432</v>
      </c>
      <c r="O161" s="1" t="s">
        <v>431</v>
      </c>
    </row>
    <row r="162" spans="4:15" ht="54.95" customHeight="1" x14ac:dyDescent="0.25">
      <c r="D162" s="257">
        <v>151</v>
      </c>
      <c r="E162" s="1" t="s">
        <v>101</v>
      </c>
      <c r="F162" s="1" t="s">
        <v>29</v>
      </c>
      <c r="G162" s="1" t="s">
        <v>435</v>
      </c>
      <c r="H162" s="1">
        <f t="shared" si="17"/>
        <v>0.44400000000000001</v>
      </c>
      <c r="I162" s="1">
        <f t="shared" si="21"/>
        <v>4440000</v>
      </c>
      <c r="J162" s="1">
        <v>88800</v>
      </c>
      <c r="K162" s="267">
        <v>46077</v>
      </c>
      <c r="L162" s="267">
        <v>46097</v>
      </c>
      <c r="M162" s="1" t="str">
        <f t="shared" ca="1" si="16"/>
        <v>Open</v>
      </c>
      <c r="N162" s="149" t="s">
        <v>434</v>
      </c>
      <c r="O162" s="1" t="s">
        <v>431</v>
      </c>
    </row>
    <row r="163" spans="4:15" ht="54.95" customHeight="1" x14ac:dyDescent="0.25">
      <c r="D163" s="257">
        <v>152</v>
      </c>
      <c r="E163" s="1" t="s">
        <v>101</v>
      </c>
      <c r="F163" s="1" t="s">
        <v>29</v>
      </c>
      <c r="G163" s="1" t="s">
        <v>424</v>
      </c>
      <c r="H163" s="1">
        <f t="shared" si="17"/>
        <v>0.29599999999999999</v>
      </c>
      <c r="I163" s="1">
        <f t="shared" si="21"/>
        <v>2960000</v>
      </c>
      <c r="J163" s="1">
        <v>59200</v>
      </c>
      <c r="K163" s="267">
        <v>46077</v>
      </c>
      <c r="L163" s="267">
        <v>46097</v>
      </c>
      <c r="M163" s="1" t="str">
        <f t="shared" ca="1" si="16"/>
        <v>Open</v>
      </c>
      <c r="N163" s="150" t="s">
        <v>436</v>
      </c>
      <c r="O163" s="1" t="s">
        <v>422</v>
      </c>
    </row>
    <row r="164" spans="4:15" ht="54.95" customHeight="1" x14ac:dyDescent="0.25">
      <c r="D164" s="257">
        <v>153</v>
      </c>
      <c r="E164" s="1" t="s">
        <v>54</v>
      </c>
      <c r="F164" s="1" t="s">
        <v>63</v>
      </c>
      <c r="G164" s="1" t="s">
        <v>439</v>
      </c>
      <c r="H164" s="1">
        <f t="shared" si="17"/>
        <v>0.20100000000000001</v>
      </c>
      <c r="I164" s="1">
        <v>2010000.0000000002</v>
      </c>
      <c r="J164" s="1">
        <f t="shared" ref="J164:J165" si="22">I164*2%</f>
        <v>40200.000000000007</v>
      </c>
      <c r="K164" s="267">
        <v>46077</v>
      </c>
      <c r="L164" s="267">
        <v>46099</v>
      </c>
      <c r="M164" s="1" t="str">
        <f t="shared" ca="1" si="16"/>
        <v>Open</v>
      </c>
      <c r="N164" s="151" t="s">
        <v>438</v>
      </c>
      <c r="O164" s="1" t="s">
        <v>437</v>
      </c>
    </row>
    <row r="165" spans="4:15" ht="54.95" customHeight="1" x14ac:dyDescent="0.25">
      <c r="D165" s="257">
        <v>154</v>
      </c>
      <c r="E165" s="1" t="s">
        <v>65</v>
      </c>
      <c r="F165" s="1" t="s">
        <v>63</v>
      </c>
      <c r="G165" s="1" t="s">
        <v>442</v>
      </c>
      <c r="H165" s="1">
        <f t="shared" si="17"/>
        <v>7.9799999999999996E-2</v>
      </c>
      <c r="I165" s="1">
        <v>798000</v>
      </c>
      <c r="J165" s="1">
        <f t="shared" si="22"/>
        <v>15960</v>
      </c>
      <c r="K165" s="267">
        <v>46077</v>
      </c>
      <c r="L165" s="267">
        <v>46098</v>
      </c>
      <c r="M165" s="1" t="str">
        <f t="shared" ca="1" si="16"/>
        <v>Open</v>
      </c>
      <c r="N165" s="152" t="s">
        <v>441</v>
      </c>
      <c r="O165" s="1" t="s">
        <v>440</v>
      </c>
    </row>
    <row r="166" spans="4:15" ht="54.95" customHeight="1" x14ac:dyDescent="0.25">
      <c r="D166" s="257">
        <v>155</v>
      </c>
      <c r="E166" s="1" t="s">
        <v>101</v>
      </c>
      <c r="F166" s="1" t="s">
        <v>29</v>
      </c>
      <c r="G166" s="1" t="s">
        <v>444</v>
      </c>
      <c r="H166" s="1">
        <f t="shared" si="17"/>
        <v>0.35949999999999999</v>
      </c>
      <c r="I166" s="1">
        <f t="shared" ref="I166:I167" si="23">J166*50</f>
        <v>3595000</v>
      </c>
      <c r="J166" s="1">
        <v>71900</v>
      </c>
      <c r="K166" s="267">
        <v>46077</v>
      </c>
      <c r="L166" s="267">
        <v>46097</v>
      </c>
      <c r="M166" s="1" t="str">
        <f t="shared" ca="1" si="16"/>
        <v>Open</v>
      </c>
      <c r="N166" s="153" t="s">
        <v>443</v>
      </c>
      <c r="O166" s="1" t="s">
        <v>431</v>
      </c>
    </row>
    <row r="167" spans="4:15" ht="54.95" customHeight="1" x14ac:dyDescent="0.25">
      <c r="D167" s="257">
        <v>156</v>
      </c>
      <c r="E167" s="1" t="s">
        <v>101</v>
      </c>
      <c r="F167" s="1" t="s">
        <v>29</v>
      </c>
      <c r="G167" s="1" t="s">
        <v>424</v>
      </c>
      <c r="H167" s="1">
        <f t="shared" si="17"/>
        <v>0.254</v>
      </c>
      <c r="I167" s="1">
        <f t="shared" si="23"/>
        <v>2540000</v>
      </c>
      <c r="J167" s="1">
        <v>50800</v>
      </c>
      <c r="K167" s="267">
        <v>46077</v>
      </c>
      <c r="L167" s="267">
        <v>46097</v>
      </c>
      <c r="M167" s="1" t="str">
        <f t="shared" ca="1" si="16"/>
        <v>Open</v>
      </c>
      <c r="N167" s="154" t="s">
        <v>445</v>
      </c>
      <c r="O167" s="1" t="s">
        <v>422</v>
      </c>
    </row>
    <row r="168" spans="4:15" ht="54.95" customHeight="1" x14ac:dyDescent="0.25">
      <c r="D168" s="257">
        <v>157</v>
      </c>
      <c r="E168" s="1" t="s">
        <v>54</v>
      </c>
      <c r="F168" s="1" t="s">
        <v>153</v>
      </c>
      <c r="G168" s="1" t="s">
        <v>449</v>
      </c>
      <c r="H168" s="1">
        <f t="shared" si="17"/>
        <v>0</v>
      </c>
      <c r="I168" s="1">
        <v>0</v>
      </c>
      <c r="J168" s="1">
        <v>0</v>
      </c>
      <c r="K168" s="267">
        <v>46077</v>
      </c>
      <c r="L168" s="267">
        <v>46086</v>
      </c>
      <c r="M168" s="1" t="str">
        <f t="shared" ca="1" si="16"/>
        <v>Closing Today</v>
      </c>
      <c r="N168" s="155" t="s">
        <v>447</v>
      </c>
      <c r="O168" s="1" t="s">
        <v>446</v>
      </c>
    </row>
    <row r="169" spans="4:15" ht="54.95" customHeight="1" x14ac:dyDescent="0.25">
      <c r="D169" s="257">
        <v>158</v>
      </c>
      <c r="E169" s="1" t="s">
        <v>21</v>
      </c>
      <c r="F169" s="1" t="s">
        <v>18</v>
      </c>
      <c r="G169" s="1" t="s">
        <v>452</v>
      </c>
      <c r="H169" s="1">
        <f t="shared" si="17"/>
        <v>0.115</v>
      </c>
      <c r="I169" s="1">
        <f t="shared" ref="I169:I170" si="24">J169*50</f>
        <v>1150000</v>
      </c>
      <c r="J169" s="1">
        <v>23000</v>
      </c>
      <c r="K169" s="267">
        <v>46077</v>
      </c>
      <c r="L169" s="267">
        <v>46093</v>
      </c>
      <c r="M169" s="1" t="str">
        <f t="shared" ca="1" si="16"/>
        <v>Open</v>
      </c>
      <c r="N169" s="156" t="s">
        <v>451</v>
      </c>
      <c r="O169" s="1" t="s">
        <v>450</v>
      </c>
    </row>
    <row r="170" spans="4:15" ht="54.95" customHeight="1" x14ac:dyDescent="0.25">
      <c r="D170" s="257">
        <v>159</v>
      </c>
      <c r="E170" s="1" t="s">
        <v>101</v>
      </c>
      <c r="F170" s="1" t="s">
        <v>29</v>
      </c>
      <c r="G170" s="1" t="s">
        <v>424</v>
      </c>
      <c r="H170" s="1">
        <f t="shared" si="17"/>
        <v>0.21149999999999999</v>
      </c>
      <c r="I170" s="1">
        <f t="shared" si="24"/>
        <v>2115000</v>
      </c>
      <c r="J170" s="1">
        <v>42300</v>
      </c>
      <c r="K170" s="267">
        <v>46077</v>
      </c>
      <c r="L170" s="267">
        <v>46097</v>
      </c>
      <c r="M170" s="1" t="str">
        <f t="shared" ca="1" si="16"/>
        <v>Open</v>
      </c>
      <c r="N170" s="157" t="s">
        <v>453</v>
      </c>
      <c r="O170" s="1" t="s">
        <v>422</v>
      </c>
    </row>
    <row r="171" spans="4:15" ht="54.95" customHeight="1" x14ac:dyDescent="0.25">
      <c r="D171" s="257">
        <v>160</v>
      </c>
      <c r="E171" s="1" t="s">
        <v>54</v>
      </c>
      <c r="F171" s="1" t="s">
        <v>63</v>
      </c>
      <c r="G171" s="1" t="s">
        <v>758</v>
      </c>
      <c r="H171" s="1">
        <f t="shared" si="17"/>
        <v>9.7087699999999999E-2</v>
      </c>
      <c r="I171" s="1">
        <v>970877</v>
      </c>
      <c r="J171" s="1">
        <f>I171*2%</f>
        <v>19417.54</v>
      </c>
      <c r="K171" s="267">
        <v>46076</v>
      </c>
      <c r="L171" s="267">
        <v>46099</v>
      </c>
      <c r="M171" s="1" t="str">
        <f t="shared" ca="1" si="16"/>
        <v>Open</v>
      </c>
      <c r="N171" s="158" t="s">
        <v>455</v>
      </c>
      <c r="O171" s="1" t="s">
        <v>761</v>
      </c>
    </row>
    <row r="172" spans="4:15" ht="54.95" customHeight="1" x14ac:dyDescent="0.25">
      <c r="D172" s="257">
        <v>161</v>
      </c>
      <c r="E172" s="1" t="s">
        <v>54</v>
      </c>
      <c r="F172" s="1" t="s">
        <v>63</v>
      </c>
      <c r="G172" s="1" t="s">
        <v>755</v>
      </c>
      <c r="H172" s="1">
        <f t="shared" si="17"/>
        <v>0.15326380000000001</v>
      </c>
      <c r="I172" s="1">
        <v>1532638</v>
      </c>
      <c r="J172" s="1">
        <f t="shared" ref="J172:J174" si="25">I172*2%</f>
        <v>30652.760000000002</v>
      </c>
      <c r="K172" s="267">
        <v>46076</v>
      </c>
      <c r="L172" s="267">
        <v>46099</v>
      </c>
      <c r="M172" s="1" t="str">
        <f t="shared" ca="1" si="16"/>
        <v>Open</v>
      </c>
      <c r="N172" s="158" t="s">
        <v>455</v>
      </c>
      <c r="O172" s="1" t="s">
        <v>759</v>
      </c>
    </row>
    <row r="173" spans="4:15" ht="54.95" customHeight="1" x14ac:dyDescent="0.25">
      <c r="D173" s="257">
        <v>162</v>
      </c>
      <c r="E173" s="1" t="s">
        <v>54</v>
      </c>
      <c r="F173" s="1" t="s">
        <v>63</v>
      </c>
      <c r="G173" s="1" t="s">
        <v>756</v>
      </c>
      <c r="H173" s="1">
        <f t="shared" si="17"/>
        <v>0.20551440000000001</v>
      </c>
      <c r="I173" s="1">
        <v>2055144</v>
      </c>
      <c r="J173" s="1">
        <f t="shared" si="25"/>
        <v>41102.879999999997</v>
      </c>
      <c r="K173" s="267">
        <v>46076</v>
      </c>
      <c r="L173" s="267">
        <v>46099</v>
      </c>
      <c r="M173" s="1" t="str">
        <f t="shared" ca="1" si="16"/>
        <v>Open</v>
      </c>
      <c r="N173" s="158" t="s">
        <v>455</v>
      </c>
      <c r="O173" s="1" t="s">
        <v>760</v>
      </c>
    </row>
    <row r="174" spans="4:15" ht="54.95" customHeight="1" x14ac:dyDescent="0.25">
      <c r="D174" s="257">
        <v>163</v>
      </c>
      <c r="E174" s="1" t="s">
        <v>54</v>
      </c>
      <c r="F174" s="1" t="s">
        <v>63</v>
      </c>
      <c r="G174" s="1" t="s">
        <v>757</v>
      </c>
      <c r="H174" s="1">
        <f t="shared" si="17"/>
        <v>0.16009889999999999</v>
      </c>
      <c r="I174" s="1">
        <v>1600989</v>
      </c>
      <c r="J174" s="1">
        <f t="shared" si="25"/>
        <v>32019.780000000002</v>
      </c>
      <c r="K174" s="267">
        <v>46076</v>
      </c>
      <c r="L174" s="267">
        <v>46099</v>
      </c>
      <c r="M174" s="1" t="str">
        <f t="shared" ca="1" si="16"/>
        <v>Open</v>
      </c>
      <c r="N174" s="158" t="s">
        <v>455</v>
      </c>
      <c r="O174" s="1" t="s">
        <v>762</v>
      </c>
    </row>
    <row r="175" spans="4:15" ht="54.95" customHeight="1" x14ac:dyDescent="0.25">
      <c r="D175" s="257">
        <v>164</v>
      </c>
      <c r="E175" s="1" t="s">
        <v>54</v>
      </c>
      <c r="F175" s="1" t="s">
        <v>153</v>
      </c>
      <c r="G175" s="1" t="s">
        <v>457</v>
      </c>
      <c r="H175" s="1">
        <f t="shared" si="17"/>
        <v>0</v>
      </c>
      <c r="I175" s="1">
        <v>0</v>
      </c>
      <c r="J175" s="1">
        <v>0</v>
      </c>
      <c r="K175" s="267">
        <v>46077</v>
      </c>
      <c r="L175" s="267">
        <v>46086</v>
      </c>
      <c r="M175" s="1" t="str">
        <f t="shared" ca="1" si="16"/>
        <v>Closing Today</v>
      </c>
      <c r="N175" s="159" t="s">
        <v>456</v>
      </c>
      <c r="O175" s="1" t="s">
        <v>446</v>
      </c>
    </row>
    <row r="176" spans="4:15" ht="54.95" customHeight="1" x14ac:dyDescent="0.25">
      <c r="D176" s="257">
        <v>165</v>
      </c>
      <c r="E176" s="1" t="s">
        <v>101</v>
      </c>
      <c r="F176" s="1" t="s">
        <v>29</v>
      </c>
      <c r="G176" s="1" t="s">
        <v>459</v>
      </c>
      <c r="H176" s="1">
        <f t="shared" si="17"/>
        <v>0.21149999999999999</v>
      </c>
      <c r="I176" s="1">
        <f t="shared" ref="I176:I179" si="26">J176*50</f>
        <v>2115000</v>
      </c>
      <c r="J176" s="1">
        <v>42300</v>
      </c>
      <c r="K176" s="267">
        <v>46077</v>
      </c>
      <c r="L176" s="267">
        <v>46097</v>
      </c>
      <c r="M176" s="1" t="str">
        <f t="shared" ca="1" si="16"/>
        <v>Open</v>
      </c>
      <c r="N176" s="160" t="s">
        <v>458</v>
      </c>
      <c r="O176" s="1" t="s">
        <v>431</v>
      </c>
    </row>
    <row r="177" spans="4:15" ht="54.95" customHeight="1" x14ac:dyDescent="0.25">
      <c r="D177" s="257">
        <v>166</v>
      </c>
      <c r="E177" s="1" t="s">
        <v>101</v>
      </c>
      <c r="F177" s="1" t="s">
        <v>29</v>
      </c>
      <c r="G177" s="1" t="s">
        <v>461</v>
      </c>
      <c r="H177" s="1">
        <f t="shared" si="17"/>
        <v>0.254</v>
      </c>
      <c r="I177" s="1">
        <f t="shared" si="26"/>
        <v>2540000</v>
      </c>
      <c r="J177" s="1">
        <v>50800</v>
      </c>
      <c r="K177" s="267">
        <v>46077</v>
      </c>
      <c r="L177" s="267">
        <v>46097</v>
      </c>
      <c r="M177" s="1" t="str">
        <f t="shared" ca="1" si="16"/>
        <v>Open</v>
      </c>
      <c r="N177" s="161" t="s">
        <v>460</v>
      </c>
      <c r="O177" s="1" t="s">
        <v>431</v>
      </c>
    </row>
    <row r="178" spans="4:15" ht="54.95" customHeight="1" x14ac:dyDescent="0.25">
      <c r="D178" s="257">
        <v>167</v>
      </c>
      <c r="E178" s="1" t="s">
        <v>21</v>
      </c>
      <c r="F178" s="1" t="s">
        <v>18</v>
      </c>
      <c r="G178" s="1" t="s">
        <v>464</v>
      </c>
      <c r="H178" s="1">
        <f t="shared" si="17"/>
        <v>0.21</v>
      </c>
      <c r="I178" s="1">
        <f t="shared" si="26"/>
        <v>2100000</v>
      </c>
      <c r="J178" s="1">
        <v>42000</v>
      </c>
      <c r="K178" s="267">
        <v>46077</v>
      </c>
      <c r="L178" s="267">
        <v>46093</v>
      </c>
      <c r="M178" s="1" t="str">
        <f t="shared" ca="1" si="16"/>
        <v>Open</v>
      </c>
      <c r="N178" s="162" t="s">
        <v>463</v>
      </c>
      <c r="O178" s="1" t="s">
        <v>462</v>
      </c>
    </row>
    <row r="179" spans="4:15" ht="54.95" customHeight="1" x14ac:dyDescent="0.25">
      <c r="D179" s="257">
        <v>168</v>
      </c>
      <c r="E179" s="1" t="s">
        <v>183</v>
      </c>
      <c r="F179" s="1" t="s">
        <v>29</v>
      </c>
      <c r="G179" s="1" t="s">
        <v>467</v>
      </c>
      <c r="H179" s="1">
        <f t="shared" si="17"/>
        <v>0.09</v>
      </c>
      <c r="I179" s="1">
        <f t="shared" si="26"/>
        <v>900000</v>
      </c>
      <c r="J179" s="1">
        <v>18000</v>
      </c>
      <c r="K179" s="267">
        <v>46077</v>
      </c>
      <c r="L179" s="267">
        <v>46091</v>
      </c>
      <c r="M179" s="1" t="str">
        <f t="shared" ca="1" si="16"/>
        <v>Open</v>
      </c>
      <c r="N179" s="163" t="s">
        <v>466</v>
      </c>
      <c r="O179" s="1" t="s">
        <v>465</v>
      </c>
    </row>
    <row r="180" spans="4:15" ht="54.95" customHeight="1" x14ac:dyDescent="0.25">
      <c r="D180" s="257">
        <v>169</v>
      </c>
      <c r="E180" s="1" t="s">
        <v>54</v>
      </c>
      <c r="F180" s="1" t="s">
        <v>63</v>
      </c>
      <c r="G180" s="1" t="s">
        <v>470</v>
      </c>
      <c r="H180" s="1">
        <f t="shared" si="17"/>
        <v>0.1845</v>
      </c>
      <c r="I180" s="1">
        <v>1845000</v>
      </c>
      <c r="J180" s="1">
        <f>I180*2%</f>
        <v>36900</v>
      </c>
      <c r="K180" s="267">
        <v>46077</v>
      </c>
      <c r="L180" s="267">
        <v>46099</v>
      </c>
      <c r="M180" s="1" t="str">
        <f t="shared" ca="1" si="16"/>
        <v>Open</v>
      </c>
      <c r="N180" s="164" t="s">
        <v>469</v>
      </c>
      <c r="O180" s="1" t="s">
        <v>468</v>
      </c>
    </row>
    <row r="181" spans="4:15" ht="54.95" customHeight="1" x14ac:dyDescent="0.25">
      <c r="D181" s="257">
        <v>170</v>
      </c>
      <c r="E181" s="1" t="s">
        <v>54</v>
      </c>
      <c r="F181" s="1" t="s">
        <v>18</v>
      </c>
      <c r="G181" s="1" t="s">
        <v>473</v>
      </c>
      <c r="H181" s="1">
        <f t="shared" si="17"/>
        <v>0</v>
      </c>
      <c r="I181" s="1">
        <v>0</v>
      </c>
      <c r="J181" s="1">
        <v>0</v>
      </c>
      <c r="K181" s="267">
        <v>46077</v>
      </c>
      <c r="L181" s="267">
        <v>46086</v>
      </c>
      <c r="M181" s="1" t="str">
        <f t="shared" ca="1" si="16"/>
        <v>Closing Today</v>
      </c>
      <c r="N181" s="165" t="s">
        <v>472</v>
      </c>
      <c r="O181" s="1" t="s">
        <v>471</v>
      </c>
    </row>
    <row r="182" spans="4:15" ht="54.95" customHeight="1" x14ac:dyDescent="0.25">
      <c r="D182" s="257">
        <v>171</v>
      </c>
      <c r="E182" s="1" t="s">
        <v>101</v>
      </c>
      <c r="F182" s="1" t="s">
        <v>29</v>
      </c>
      <c r="G182" s="1" t="s">
        <v>475</v>
      </c>
      <c r="H182" s="1">
        <f t="shared" si="17"/>
        <v>0.21149999999999999</v>
      </c>
      <c r="I182" s="1">
        <f t="shared" ref="I182:I187" si="27">J182*50</f>
        <v>2115000</v>
      </c>
      <c r="J182" s="1">
        <v>42300</v>
      </c>
      <c r="K182" s="267">
        <v>46077</v>
      </c>
      <c r="L182" s="267">
        <v>46097</v>
      </c>
      <c r="M182" s="1" t="str">
        <f t="shared" ca="1" si="16"/>
        <v>Open</v>
      </c>
      <c r="N182" s="166" t="s">
        <v>474</v>
      </c>
      <c r="O182" s="1" t="s">
        <v>431</v>
      </c>
    </row>
    <row r="183" spans="4:15" ht="54.95" customHeight="1" x14ac:dyDescent="0.25">
      <c r="D183" s="257">
        <v>172</v>
      </c>
      <c r="E183" s="1" t="s">
        <v>101</v>
      </c>
      <c r="F183" s="1" t="s">
        <v>29</v>
      </c>
      <c r="G183" s="1" t="s">
        <v>424</v>
      </c>
      <c r="H183" s="1">
        <f t="shared" si="17"/>
        <v>0.44400000000000001</v>
      </c>
      <c r="I183" s="1">
        <f t="shared" si="27"/>
        <v>4440000</v>
      </c>
      <c r="J183" s="1">
        <v>88800</v>
      </c>
      <c r="K183" s="267">
        <v>46077</v>
      </c>
      <c r="L183" s="267">
        <v>46097</v>
      </c>
      <c r="M183" s="1" t="str">
        <f t="shared" ca="1" si="16"/>
        <v>Open</v>
      </c>
      <c r="N183" s="167" t="s">
        <v>476</v>
      </c>
      <c r="O183" s="1" t="s">
        <v>422</v>
      </c>
    </row>
    <row r="184" spans="4:15" ht="54.95" customHeight="1" x14ac:dyDescent="0.25">
      <c r="D184" s="257">
        <v>173</v>
      </c>
      <c r="E184" s="1" t="s">
        <v>21</v>
      </c>
      <c r="F184" s="1" t="s">
        <v>18</v>
      </c>
      <c r="G184" s="1" t="s">
        <v>452</v>
      </c>
      <c r="H184" s="1">
        <f t="shared" si="17"/>
        <v>0.115</v>
      </c>
      <c r="I184" s="1">
        <f t="shared" si="27"/>
        <v>1150000</v>
      </c>
      <c r="J184" s="1">
        <v>23000</v>
      </c>
      <c r="K184" s="267">
        <v>46077</v>
      </c>
      <c r="L184" s="267">
        <v>46093</v>
      </c>
      <c r="M184" s="1" t="str">
        <f t="shared" ca="1" si="16"/>
        <v>Open</v>
      </c>
      <c r="N184" s="168" t="s">
        <v>477</v>
      </c>
      <c r="O184" s="1" t="s">
        <v>450</v>
      </c>
    </row>
    <row r="185" spans="4:15" ht="54.95" customHeight="1" x14ac:dyDescent="0.25">
      <c r="D185" s="257">
        <v>174</v>
      </c>
      <c r="E185" s="1" t="s">
        <v>101</v>
      </c>
      <c r="F185" s="1" t="s">
        <v>29</v>
      </c>
      <c r="G185" s="1" t="s">
        <v>479</v>
      </c>
      <c r="H185" s="1">
        <f t="shared" si="17"/>
        <v>0.254</v>
      </c>
      <c r="I185" s="1">
        <f t="shared" si="27"/>
        <v>2540000</v>
      </c>
      <c r="J185" s="1">
        <v>50800</v>
      </c>
      <c r="K185" s="267">
        <v>46077</v>
      </c>
      <c r="L185" s="267">
        <v>46097</v>
      </c>
      <c r="M185" s="1" t="str">
        <f t="shared" ca="1" si="16"/>
        <v>Open</v>
      </c>
      <c r="N185" s="169" t="s">
        <v>478</v>
      </c>
      <c r="O185" s="1" t="s">
        <v>431</v>
      </c>
    </row>
    <row r="186" spans="4:15" ht="54.95" customHeight="1" x14ac:dyDescent="0.25">
      <c r="D186" s="257">
        <v>175</v>
      </c>
      <c r="E186" s="1" t="s">
        <v>101</v>
      </c>
      <c r="F186" s="1" t="s">
        <v>29</v>
      </c>
      <c r="G186" s="1" t="s">
        <v>424</v>
      </c>
      <c r="H186" s="1">
        <f t="shared" si="17"/>
        <v>0.21149999999999999</v>
      </c>
      <c r="I186" s="1">
        <f t="shared" si="27"/>
        <v>2115000</v>
      </c>
      <c r="J186" s="1">
        <v>42300</v>
      </c>
      <c r="K186" s="267">
        <v>46077</v>
      </c>
      <c r="L186" s="267">
        <v>46097</v>
      </c>
      <c r="M186" s="1" t="str">
        <f t="shared" ca="1" si="16"/>
        <v>Open</v>
      </c>
      <c r="N186" s="170" t="s">
        <v>480</v>
      </c>
      <c r="O186" s="1" t="s">
        <v>422</v>
      </c>
    </row>
    <row r="187" spans="4:15" ht="54.95" customHeight="1" x14ac:dyDescent="0.25">
      <c r="D187" s="257">
        <v>176</v>
      </c>
      <c r="E187" s="1" t="s">
        <v>21</v>
      </c>
      <c r="F187" s="1" t="s">
        <v>18</v>
      </c>
      <c r="G187" s="1" t="s">
        <v>464</v>
      </c>
      <c r="H187" s="1">
        <f t="shared" si="17"/>
        <v>0.21</v>
      </c>
      <c r="I187" s="1">
        <f t="shared" si="27"/>
        <v>2100000</v>
      </c>
      <c r="J187" s="1">
        <v>42000</v>
      </c>
      <c r="K187" s="267">
        <v>46077</v>
      </c>
      <c r="L187" s="267">
        <v>46093</v>
      </c>
      <c r="M187" s="1" t="str">
        <f t="shared" ca="1" si="16"/>
        <v>Open</v>
      </c>
      <c r="N187" s="171" t="s">
        <v>481</v>
      </c>
      <c r="O187" s="1" t="s">
        <v>462</v>
      </c>
    </row>
    <row r="188" spans="4:15" ht="54.95" customHeight="1" x14ac:dyDescent="0.25">
      <c r="D188" s="257">
        <v>177</v>
      </c>
      <c r="E188" s="1" t="s">
        <v>54</v>
      </c>
      <c r="F188" s="1" t="s">
        <v>63</v>
      </c>
      <c r="G188" s="1" t="s">
        <v>484</v>
      </c>
      <c r="H188" s="1">
        <f t="shared" si="17"/>
        <v>0.20100000000000001</v>
      </c>
      <c r="I188" s="1">
        <v>2010000.0000000002</v>
      </c>
      <c r="J188" s="1">
        <f>I188*2%</f>
        <v>40200.000000000007</v>
      </c>
      <c r="K188" s="267">
        <v>46077</v>
      </c>
      <c r="L188" s="267">
        <v>46099</v>
      </c>
      <c r="M188" s="1" t="str">
        <f t="shared" ca="1" si="16"/>
        <v>Open</v>
      </c>
      <c r="N188" s="172" t="s">
        <v>483</v>
      </c>
      <c r="O188" s="1" t="s">
        <v>482</v>
      </c>
    </row>
    <row r="189" spans="4:15" ht="54.95" customHeight="1" x14ac:dyDescent="0.25">
      <c r="D189" s="257">
        <v>178</v>
      </c>
      <c r="E189" s="1" t="s">
        <v>101</v>
      </c>
      <c r="F189" s="1" t="s">
        <v>29</v>
      </c>
      <c r="G189" s="1" t="s">
        <v>486</v>
      </c>
      <c r="H189" s="1">
        <f t="shared" si="17"/>
        <v>0.254</v>
      </c>
      <c r="I189" s="1">
        <f t="shared" ref="I189:I191" si="28">J189*50</f>
        <v>2540000</v>
      </c>
      <c r="J189" s="1">
        <v>50800</v>
      </c>
      <c r="K189" s="267">
        <v>46077</v>
      </c>
      <c r="L189" s="267">
        <v>46097</v>
      </c>
      <c r="M189" s="1" t="str">
        <f t="shared" ca="1" si="16"/>
        <v>Open</v>
      </c>
      <c r="N189" s="173" t="s">
        <v>485</v>
      </c>
      <c r="O189" s="1" t="s">
        <v>431</v>
      </c>
    </row>
    <row r="190" spans="4:15" ht="54.95" customHeight="1" x14ac:dyDescent="0.25">
      <c r="D190" s="257">
        <v>179</v>
      </c>
      <c r="E190" s="1" t="s">
        <v>101</v>
      </c>
      <c r="F190" s="1" t="s">
        <v>29</v>
      </c>
      <c r="G190" s="1" t="s">
        <v>488</v>
      </c>
      <c r="H190" s="1">
        <f t="shared" si="17"/>
        <v>0.29599999999999999</v>
      </c>
      <c r="I190" s="1">
        <f t="shared" si="28"/>
        <v>2960000</v>
      </c>
      <c r="J190" s="1">
        <v>59200</v>
      </c>
      <c r="K190" s="267">
        <v>46077</v>
      </c>
      <c r="L190" s="267">
        <v>46097</v>
      </c>
      <c r="M190" s="1" t="str">
        <f t="shared" ca="1" si="16"/>
        <v>Open</v>
      </c>
      <c r="N190" s="174" t="s">
        <v>487</v>
      </c>
      <c r="O190" s="1" t="s">
        <v>431</v>
      </c>
    </row>
    <row r="191" spans="4:15" ht="54.95" customHeight="1" x14ac:dyDescent="0.25">
      <c r="D191" s="257">
        <v>180</v>
      </c>
      <c r="E191" s="1" t="s">
        <v>54</v>
      </c>
      <c r="F191" s="1" t="s">
        <v>490</v>
      </c>
      <c r="G191" s="1" t="s">
        <v>491</v>
      </c>
      <c r="H191" s="1">
        <f t="shared" si="17"/>
        <v>0.05</v>
      </c>
      <c r="I191" s="1">
        <f t="shared" si="28"/>
        <v>500000</v>
      </c>
      <c r="J191" s="1">
        <v>10000</v>
      </c>
      <c r="K191" s="267">
        <v>46079</v>
      </c>
      <c r="L191" s="267">
        <v>46094</v>
      </c>
      <c r="M191" s="1" t="str">
        <f t="shared" ca="1" si="16"/>
        <v>Open</v>
      </c>
      <c r="N191" s="175" t="s">
        <v>489</v>
      </c>
      <c r="O191" s="1" t="s">
        <v>489</v>
      </c>
    </row>
    <row r="192" spans="4:15" ht="54.95" customHeight="1" x14ac:dyDescent="0.25">
      <c r="D192" s="257">
        <v>181</v>
      </c>
      <c r="E192" s="1" t="s">
        <v>54</v>
      </c>
      <c r="F192" s="1" t="s">
        <v>18</v>
      </c>
      <c r="G192" s="1" t="s">
        <v>494</v>
      </c>
      <c r="H192" s="1">
        <f t="shared" si="17"/>
        <v>1.05</v>
      </c>
      <c r="I192" s="1">
        <v>10500000</v>
      </c>
      <c r="J192" s="1">
        <v>211000</v>
      </c>
      <c r="K192" s="267">
        <v>46079</v>
      </c>
      <c r="L192" s="267">
        <v>46091</v>
      </c>
      <c r="M192" s="1" t="str">
        <f t="shared" ca="1" si="16"/>
        <v>Open</v>
      </c>
      <c r="N192" s="176" t="s">
        <v>493</v>
      </c>
      <c r="O192" s="1" t="s">
        <v>492</v>
      </c>
    </row>
    <row r="193" spans="4:15" ht="54.95" customHeight="1" x14ac:dyDescent="0.25">
      <c r="D193" s="257">
        <v>182</v>
      </c>
      <c r="E193" s="1" t="s">
        <v>15</v>
      </c>
      <c r="F193" s="1" t="s">
        <v>153</v>
      </c>
      <c r="G193" s="1" t="s">
        <v>498</v>
      </c>
      <c r="H193" s="1">
        <f t="shared" si="17"/>
        <v>0.42</v>
      </c>
      <c r="I193" s="1">
        <f>J193*50</f>
        <v>4200000</v>
      </c>
      <c r="J193" s="1">
        <v>84000</v>
      </c>
      <c r="K193" s="267">
        <v>46079</v>
      </c>
      <c r="L193" s="267">
        <v>46109</v>
      </c>
      <c r="M193" s="1" t="str">
        <f t="shared" ca="1" si="16"/>
        <v>Open</v>
      </c>
      <c r="N193" s="177" t="s">
        <v>496</v>
      </c>
      <c r="O193" s="1" t="s">
        <v>495</v>
      </c>
    </row>
    <row r="194" spans="4:15" ht="54.95" customHeight="1" x14ac:dyDescent="0.25">
      <c r="D194" s="257">
        <v>183</v>
      </c>
      <c r="E194" s="1" t="s">
        <v>141</v>
      </c>
      <c r="F194" s="1" t="s">
        <v>18</v>
      </c>
      <c r="G194" s="1" t="s">
        <v>501</v>
      </c>
      <c r="H194" s="1">
        <f t="shared" si="17"/>
        <v>0.1489</v>
      </c>
      <c r="I194" s="1">
        <v>1489000</v>
      </c>
      <c r="J194" s="1">
        <v>44700</v>
      </c>
      <c r="K194" s="267">
        <v>46079</v>
      </c>
      <c r="L194" s="267">
        <v>46097</v>
      </c>
      <c r="M194" s="1" t="str">
        <f t="shared" ca="1" si="16"/>
        <v>Open</v>
      </c>
      <c r="N194" s="178" t="s">
        <v>500</v>
      </c>
      <c r="O194" s="1" t="s">
        <v>499</v>
      </c>
    </row>
    <row r="195" spans="4:15" ht="54.95" customHeight="1" x14ac:dyDescent="0.25">
      <c r="D195" s="257">
        <v>184</v>
      </c>
      <c r="E195" s="1" t="s">
        <v>125</v>
      </c>
      <c r="F195" s="1" t="s">
        <v>18</v>
      </c>
      <c r="G195" s="1" t="s">
        <v>504</v>
      </c>
      <c r="H195" s="1">
        <f t="shared" si="17"/>
        <v>0.05</v>
      </c>
      <c r="I195" s="1">
        <f t="shared" ref="I195:I196" si="29">J195*50</f>
        <v>500000</v>
      </c>
      <c r="J195" s="1">
        <v>10000</v>
      </c>
      <c r="K195" s="267">
        <v>46079</v>
      </c>
      <c r="L195" s="267">
        <v>46093</v>
      </c>
      <c r="M195" s="1" t="str">
        <f t="shared" ca="1" si="16"/>
        <v>Open</v>
      </c>
      <c r="N195" s="179" t="s">
        <v>503</v>
      </c>
      <c r="O195" s="1" t="s">
        <v>502</v>
      </c>
    </row>
    <row r="196" spans="4:15" ht="54.95" customHeight="1" x14ac:dyDescent="0.25">
      <c r="D196" s="257">
        <v>185</v>
      </c>
      <c r="E196" s="1" t="s">
        <v>125</v>
      </c>
      <c r="F196" s="1" t="s">
        <v>18</v>
      </c>
      <c r="G196" s="1" t="s">
        <v>507</v>
      </c>
      <c r="H196" s="1">
        <f t="shared" si="17"/>
        <v>3.2500000000000001E-2</v>
      </c>
      <c r="I196" s="1">
        <f t="shared" si="29"/>
        <v>325000</v>
      </c>
      <c r="J196" s="1">
        <v>6500</v>
      </c>
      <c r="K196" s="267">
        <v>46079</v>
      </c>
      <c r="L196" s="267">
        <v>46093</v>
      </c>
      <c r="M196" s="1" t="str">
        <f t="shared" ca="1" si="16"/>
        <v>Open</v>
      </c>
      <c r="N196" s="180" t="s">
        <v>506</v>
      </c>
      <c r="O196" s="1" t="s">
        <v>505</v>
      </c>
    </row>
    <row r="197" spans="4:15" ht="54.95" customHeight="1" x14ac:dyDescent="0.25">
      <c r="D197" s="257">
        <v>186</v>
      </c>
      <c r="E197" s="1" t="s">
        <v>141</v>
      </c>
      <c r="F197" s="1" t="s">
        <v>18</v>
      </c>
      <c r="G197" s="1" t="s">
        <v>510</v>
      </c>
      <c r="H197" s="1">
        <f t="shared" si="17"/>
        <v>0.42</v>
      </c>
      <c r="I197" s="1">
        <v>4200000</v>
      </c>
      <c r="J197" s="1">
        <v>84000</v>
      </c>
      <c r="K197" s="267">
        <v>46079</v>
      </c>
      <c r="L197" s="267">
        <v>46093</v>
      </c>
      <c r="M197" s="1" t="str">
        <f t="shared" ca="1" si="16"/>
        <v>Open</v>
      </c>
      <c r="N197" s="181" t="s">
        <v>509</v>
      </c>
      <c r="O197" s="1" t="s">
        <v>508</v>
      </c>
    </row>
    <row r="198" spans="4:15" ht="54.95" customHeight="1" x14ac:dyDescent="0.25">
      <c r="D198" s="257">
        <v>187</v>
      </c>
      <c r="E198" s="1" t="s">
        <v>15</v>
      </c>
      <c r="F198" s="1" t="s">
        <v>153</v>
      </c>
      <c r="G198" s="1" t="s">
        <v>513</v>
      </c>
      <c r="H198" s="1">
        <f t="shared" si="17"/>
        <v>0.41499999999999998</v>
      </c>
      <c r="I198" s="1">
        <f>J198*50</f>
        <v>4150000</v>
      </c>
      <c r="J198" s="1">
        <v>83000</v>
      </c>
      <c r="K198" s="267">
        <v>46079</v>
      </c>
      <c r="L198" s="267">
        <v>46109</v>
      </c>
      <c r="M198" s="1" t="str">
        <f t="shared" ca="1" si="16"/>
        <v>Open</v>
      </c>
      <c r="N198" s="182" t="s">
        <v>512</v>
      </c>
      <c r="O198" s="1" t="s">
        <v>511</v>
      </c>
    </row>
    <row r="199" spans="4:15" ht="54.95" customHeight="1" x14ac:dyDescent="0.25">
      <c r="D199" s="257">
        <v>188</v>
      </c>
      <c r="E199" s="1" t="s">
        <v>15</v>
      </c>
      <c r="F199" s="1" t="s">
        <v>18</v>
      </c>
      <c r="G199" s="1" t="s">
        <v>516</v>
      </c>
      <c r="H199" s="1">
        <f t="shared" si="17"/>
        <v>0.14940000000000001</v>
      </c>
      <c r="I199" s="1">
        <v>1494000</v>
      </c>
      <c r="J199" s="1">
        <v>60000</v>
      </c>
      <c r="K199" s="267">
        <v>46079</v>
      </c>
      <c r="L199" s="267">
        <v>46090</v>
      </c>
      <c r="M199" s="1" t="str">
        <f t="shared" ca="1" si="16"/>
        <v>Open</v>
      </c>
      <c r="N199" s="183" t="s">
        <v>515</v>
      </c>
      <c r="O199" s="1" t="s">
        <v>514</v>
      </c>
    </row>
    <row r="200" spans="4:15" ht="54.95" customHeight="1" x14ac:dyDescent="0.25">
      <c r="D200" s="257">
        <v>189</v>
      </c>
      <c r="E200" s="1" t="s">
        <v>15</v>
      </c>
      <c r="F200" s="1" t="s">
        <v>153</v>
      </c>
      <c r="G200" s="1" t="s">
        <v>519</v>
      </c>
      <c r="H200" s="1">
        <f t="shared" si="17"/>
        <v>0.46500000000000002</v>
      </c>
      <c r="I200" s="1">
        <f t="shared" ref="I200:I201" si="30">J200*50</f>
        <v>4650000</v>
      </c>
      <c r="J200" s="1">
        <v>93000</v>
      </c>
      <c r="K200" s="267">
        <v>46079</v>
      </c>
      <c r="L200" s="267">
        <v>46109</v>
      </c>
      <c r="M200" s="1" t="str">
        <f t="shared" ca="1" si="16"/>
        <v>Open</v>
      </c>
      <c r="N200" s="184" t="s">
        <v>518</v>
      </c>
      <c r="O200" s="1" t="s">
        <v>517</v>
      </c>
    </row>
    <row r="201" spans="4:15" ht="54.95" customHeight="1" x14ac:dyDescent="0.25">
      <c r="D201" s="257">
        <v>190</v>
      </c>
      <c r="E201" s="1" t="s">
        <v>125</v>
      </c>
      <c r="F201" s="1" t="s">
        <v>18</v>
      </c>
      <c r="G201" s="1" t="s">
        <v>522</v>
      </c>
      <c r="H201" s="1">
        <f t="shared" si="17"/>
        <v>0.01</v>
      </c>
      <c r="I201" s="1">
        <f t="shared" si="30"/>
        <v>100000</v>
      </c>
      <c r="J201" s="1">
        <v>2000</v>
      </c>
      <c r="K201" s="267">
        <v>46079</v>
      </c>
      <c r="L201" s="267">
        <v>46093</v>
      </c>
      <c r="M201" s="1" t="str">
        <f t="shared" ca="1" si="16"/>
        <v>Open</v>
      </c>
      <c r="N201" s="185" t="s">
        <v>521</v>
      </c>
      <c r="O201" s="1" t="s">
        <v>520</v>
      </c>
    </row>
    <row r="202" spans="4:15" ht="54.95" customHeight="1" x14ac:dyDescent="0.25">
      <c r="D202" s="257">
        <v>191</v>
      </c>
      <c r="E202" s="1" t="s">
        <v>141</v>
      </c>
      <c r="F202" s="1" t="s">
        <v>18</v>
      </c>
      <c r="G202" s="1" t="s">
        <v>525</v>
      </c>
      <c r="H202" s="1">
        <f t="shared" si="17"/>
        <v>0.375</v>
      </c>
      <c r="I202" s="1">
        <v>3750000</v>
      </c>
      <c r="J202" s="1">
        <v>75000</v>
      </c>
      <c r="K202" s="267">
        <v>46079</v>
      </c>
      <c r="L202" s="267">
        <v>46093</v>
      </c>
      <c r="M202" s="1" t="str">
        <f t="shared" ca="1" si="16"/>
        <v>Open</v>
      </c>
      <c r="N202" s="186" t="s">
        <v>524</v>
      </c>
      <c r="O202" s="1" t="s">
        <v>523</v>
      </c>
    </row>
    <row r="203" spans="4:15" ht="54.95" customHeight="1" x14ac:dyDescent="0.25">
      <c r="D203" s="257">
        <v>192</v>
      </c>
      <c r="E203" s="1" t="s">
        <v>15</v>
      </c>
      <c r="F203" s="1" t="s">
        <v>153</v>
      </c>
      <c r="G203" s="1" t="s">
        <v>528</v>
      </c>
      <c r="H203" s="1">
        <f t="shared" si="17"/>
        <v>0.76</v>
      </c>
      <c r="I203" s="1">
        <f t="shared" ref="I203:I204" si="31">J203*50</f>
        <v>7600000</v>
      </c>
      <c r="J203" s="1">
        <v>152000</v>
      </c>
      <c r="K203" s="267">
        <v>46079</v>
      </c>
      <c r="L203" s="267">
        <v>46109</v>
      </c>
      <c r="M203" s="1" t="str">
        <f t="shared" ca="1" si="16"/>
        <v>Open</v>
      </c>
      <c r="N203" s="187" t="s">
        <v>527</v>
      </c>
      <c r="O203" s="1" t="s">
        <v>526</v>
      </c>
    </row>
    <row r="204" spans="4:15" ht="54.95" customHeight="1" x14ac:dyDescent="0.25">
      <c r="D204" s="257">
        <v>193</v>
      </c>
      <c r="E204" s="1" t="s">
        <v>15</v>
      </c>
      <c r="F204" s="1" t="s">
        <v>153</v>
      </c>
      <c r="G204" s="1" t="s">
        <v>531</v>
      </c>
      <c r="H204" s="1">
        <f t="shared" si="17"/>
        <v>0.28999999999999998</v>
      </c>
      <c r="I204" s="1">
        <f t="shared" si="31"/>
        <v>2900000</v>
      </c>
      <c r="J204" s="1">
        <v>58000</v>
      </c>
      <c r="K204" s="267">
        <v>46079</v>
      </c>
      <c r="L204" s="267">
        <v>46109</v>
      </c>
      <c r="M204" s="1" t="str">
        <f t="shared" ref="M204:M267" ca="1" si="32">IF(L204&lt;$I$7,"Closed",IF(L204&gt;$I$7,"Open",IF(L204=$I$7,"Closing Today","NA")))</f>
        <v>Open</v>
      </c>
      <c r="N204" s="188" t="s">
        <v>530</v>
      </c>
      <c r="O204" s="1" t="s">
        <v>529</v>
      </c>
    </row>
    <row r="205" spans="4:15" ht="54.95" customHeight="1" x14ac:dyDescent="0.25">
      <c r="D205" s="257">
        <v>194</v>
      </c>
      <c r="E205" s="1" t="s">
        <v>141</v>
      </c>
      <c r="F205" s="1" t="s">
        <v>18</v>
      </c>
      <c r="G205" s="1" t="s">
        <v>534</v>
      </c>
      <c r="H205" s="1">
        <f t="shared" si="17"/>
        <v>0.375</v>
      </c>
      <c r="I205" s="1">
        <v>3750000</v>
      </c>
      <c r="J205" s="1">
        <v>75000</v>
      </c>
      <c r="K205" s="267">
        <v>46079</v>
      </c>
      <c r="L205" s="267">
        <v>46093</v>
      </c>
      <c r="M205" s="1" t="str">
        <f t="shared" ca="1" si="32"/>
        <v>Open</v>
      </c>
      <c r="N205" s="189" t="s">
        <v>533</v>
      </c>
      <c r="O205" s="1" t="s">
        <v>532</v>
      </c>
    </row>
    <row r="206" spans="4:15" ht="54.95" customHeight="1" x14ac:dyDescent="0.25">
      <c r="D206" s="257">
        <v>195</v>
      </c>
      <c r="E206" s="1" t="s">
        <v>141</v>
      </c>
      <c r="F206" s="1" t="s">
        <v>18</v>
      </c>
      <c r="G206" s="1" t="s">
        <v>537</v>
      </c>
      <c r="H206" s="1">
        <f t="shared" si="17"/>
        <v>0.14960000000000001</v>
      </c>
      <c r="I206" s="1">
        <v>1496000</v>
      </c>
      <c r="J206" s="1">
        <v>44900</v>
      </c>
      <c r="K206" s="267">
        <v>46079</v>
      </c>
      <c r="L206" s="267">
        <v>46097</v>
      </c>
      <c r="M206" s="1" t="str">
        <f t="shared" ca="1" si="32"/>
        <v>Open</v>
      </c>
      <c r="N206" s="190" t="s">
        <v>536</v>
      </c>
      <c r="O206" s="1" t="s">
        <v>535</v>
      </c>
    </row>
    <row r="207" spans="4:15" ht="54.95" customHeight="1" x14ac:dyDescent="0.25">
      <c r="D207" s="257">
        <v>196</v>
      </c>
      <c r="E207" s="1" t="s">
        <v>22</v>
      </c>
      <c r="F207" s="1" t="s">
        <v>18</v>
      </c>
      <c r="G207" s="1" t="s">
        <v>540</v>
      </c>
      <c r="H207" s="1">
        <f t="shared" si="17"/>
        <v>0.15</v>
      </c>
      <c r="I207" s="1">
        <v>1500000</v>
      </c>
      <c r="J207" s="1">
        <v>45000</v>
      </c>
      <c r="K207" s="267">
        <v>46079</v>
      </c>
      <c r="L207" s="267">
        <v>46093</v>
      </c>
      <c r="M207" s="1" t="str">
        <f t="shared" ca="1" si="32"/>
        <v>Open</v>
      </c>
      <c r="N207" s="191" t="s">
        <v>539</v>
      </c>
      <c r="O207" s="1" t="s">
        <v>538</v>
      </c>
    </row>
    <row r="208" spans="4:15" ht="54.95" customHeight="1" x14ac:dyDescent="0.25">
      <c r="D208" s="257">
        <v>197</v>
      </c>
      <c r="E208" s="1" t="s">
        <v>141</v>
      </c>
      <c r="F208" s="1" t="s">
        <v>18</v>
      </c>
      <c r="G208" s="1" t="s">
        <v>543</v>
      </c>
      <c r="H208" s="1">
        <f t="shared" si="17"/>
        <v>0.14879999999999999</v>
      </c>
      <c r="I208" s="1">
        <v>1488000</v>
      </c>
      <c r="J208" s="1">
        <v>44700</v>
      </c>
      <c r="K208" s="267">
        <v>46079</v>
      </c>
      <c r="L208" s="267">
        <v>46097</v>
      </c>
      <c r="M208" s="1" t="str">
        <f t="shared" ca="1" si="32"/>
        <v>Open</v>
      </c>
      <c r="N208" s="192" t="s">
        <v>542</v>
      </c>
      <c r="O208" s="1" t="s">
        <v>541</v>
      </c>
    </row>
    <row r="209" spans="4:15" ht="54.95" customHeight="1" x14ac:dyDescent="0.25">
      <c r="D209" s="257">
        <v>198</v>
      </c>
      <c r="E209" s="1" t="s">
        <v>54</v>
      </c>
      <c r="F209" s="1" t="s">
        <v>546</v>
      </c>
      <c r="G209" s="1" t="s">
        <v>547</v>
      </c>
      <c r="H209" s="1">
        <f t="shared" si="17"/>
        <v>1</v>
      </c>
      <c r="I209" s="1">
        <f t="shared" ref="I209:I210" si="33">J209*50</f>
        <v>10000000</v>
      </c>
      <c r="J209" s="1">
        <v>200000</v>
      </c>
      <c r="K209" s="267">
        <v>46079</v>
      </c>
      <c r="L209" s="267">
        <v>46087</v>
      </c>
      <c r="M209" s="1" t="str">
        <f t="shared" ca="1" si="32"/>
        <v>Open</v>
      </c>
      <c r="N209" s="193" t="s">
        <v>545</v>
      </c>
      <c r="O209" s="1" t="s">
        <v>544</v>
      </c>
    </row>
    <row r="210" spans="4:15" ht="54.95" customHeight="1" x14ac:dyDescent="0.25">
      <c r="D210" s="257">
        <v>199</v>
      </c>
      <c r="E210" s="1" t="s">
        <v>125</v>
      </c>
      <c r="F210" s="1" t="s">
        <v>18</v>
      </c>
      <c r="G210" s="1" t="s">
        <v>550</v>
      </c>
      <c r="H210" s="1">
        <f t="shared" ref="H210:H272" si="34">I210/10000000</f>
        <v>4.2500000000000003E-2</v>
      </c>
      <c r="I210" s="1">
        <f t="shared" si="33"/>
        <v>425000</v>
      </c>
      <c r="J210" s="1">
        <v>8500</v>
      </c>
      <c r="K210" s="267">
        <v>46079</v>
      </c>
      <c r="L210" s="267">
        <v>46093</v>
      </c>
      <c r="M210" s="1" t="str">
        <f t="shared" ca="1" si="32"/>
        <v>Open</v>
      </c>
      <c r="N210" s="194" t="s">
        <v>549</v>
      </c>
      <c r="O210" s="1" t="s">
        <v>548</v>
      </c>
    </row>
    <row r="211" spans="4:15" ht="54.95" customHeight="1" x14ac:dyDescent="0.25">
      <c r="D211" s="257">
        <v>200</v>
      </c>
      <c r="E211" s="1" t="s">
        <v>141</v>
      </c>
      <c r="F211" s="1" t="s">
        <v>18</v>
      </c>
      <c r="G211" s="1" t="s">
        <v>553</v>
      </c>
      <c r="H211" s="1">
        <f t="shared" si="34"/>
        <v>0.14530000000000001</v>
      </c>
      <c r="I211" s="1">
        <v>1453000</v>
      </c>
      <c r="J211" s="1">
        <v>43600</v>
      </c>
      <c r="K211" s="267">
        <v>46079</v>
      </c>
      <c r="L211" s="267">
        <v>46097</v>
      </c>
      <c r="M211" s="1" t="str">
        <f t="shared" ca="1" si="32"/>
        <v>Open</v>
      </c>
      <c r="N211" s="195" t="s">
        <v>552</v>
      </c>
      <c r="O211" s="1" t="s">
        <v>551</v>
      </c>
    </row>
    <row r="212" spans="4:15" ht="54.95" customHeight="1" x14ac:dyDescent="0.25">
      <c r="D212" s="257">
        <v>201</v>
      </c>
      <c r="E212" s="1" t="s">
        <v>15</v>
      </c>
      <c r="F212" s="1" t="s">
        <v>153</v>
      </c>
      <c r="G212" s="1" t="s">
        <v>556</v>
      </c>
      <c r="H212" s="1">
        <f t="shared" si="34"/>
        <v>0.34499999999999997</v>
      </c>
      <c r="I212" s="1">
        <f>J212*50</f>
        <v>3450000</v>
      </c>
      <c r="J212" s="1">
        <v>69000</v>
      </c>
      <c r="K212" s="267">
        <v>46079</v>
      </c>
      <c r="L212" s="267">
        <v>46109</v>
      </c>
      <c r="M212" s="1" t="str">
        <f t="shared" ca="1" si="32"/>
        <v>Open</v>
      </c>
      <c r="N212" s="196" t="s">
        <v>555</v>
      </c>
      <c r="O212" s="1" t="s">
        <v>554</v>
      </c>
    </row>
    <row r="213" spans="4:15" ht="54.95" customHeight="1" x14ac:dyDescent="0.25">
      <c r="D213" s="257">
        <v>202</v>
      </c>
      <c r="E213" s="1" t="s">
        <v>141</v>
      </c>
      <c r="F213" s="1" t="s">
        <v>18</v>
      </c>
      <c r="G213" s="1" t="s">
        <v>559</v>
      </c>
      <c r="H213" s="1">
        <f t="shared" si="34"/>
        <v>0.1487</v>
      </c>
      <c r="I213" s="1">
        <v>1487000</v>
      </c>
      <c r="J213" s="1">
        <v>44700</v>
      </c>
      <c r="K213" s="267">
        <v>46079</v>
      </c>
      <c r="L213" s="267">
        <v>46097</v>
      </c>
      <c r="M213" s="1" t="str">
        <f t="shared" ca="1" si="32"/>
        <v>Open</v>
      </c>
      <c r="N213" s="197" t="s">
        <v>558</v>
      </c>
      <c r="O213" s="1" t="s">
        <v>557</v>
      </c>
    </row>
    <row r="214" spans="4:15" ht="54.95" customHeight="1" x14ac:dyDescent="0.25">
      <c r="D214" s="257">
        <v>203</v>
      </c>
      <c r="E214" s="1" t="s">
        <v>125</v>
      </c>
      <c r="F214" s="1" t="s">
        <v>18</v>
      </c>
      <c r="G214" s="1" t="s">
        <v>562</v>
      </c>
      <c r="H214" s="1">
        <f t="shared" si="34"/>
        <v>0.04</v>
      </c>
      <c r="I214" s="1">
        <f t="shared" ref="I214:I215" si="35">J214*50</f>
        <v>400000</v>
      </c>
      <c r="J214" s="1">
        <v>8000</v>
      </c>
      <c r="K214" s="267">
        <v>46079</v>
      </c>
      <c r="L214" s="267">
        <v>46093</v>
      </c>
      <c r="M214" s="1" t="str">
        <f t="shared" ca="1" si="32"/>
        <v>Open</v>
      </c>
      <c r="N214" s="198" t="s">
        <v>561</v>
      </c>
      <c r="O214" s="1" t="s">
        <v>560</v>
      </c>
    </row>
    <row r="215" spans="4:15" ht="54.95" customHeight="1" x14ac:dyDescent="0.25">
      <c r="D215" s="257">
        <v>204</v>
      </c>
      <c r="E215" s="1" t="s">
        <v>15</v>
      </c>
      <c r="F215" s="1" t="s">
        <v>153</v>
      </c>
      <c r="G215" s="1" t="s">
        <v>565</v>
      </c>
      <c r="H215" s="1">
        <f t="shared" si="34"/>
        <v>0.88500000000000001</v>
      </c>
      <c r="I215" s="1">
        <f t="shared" si="35"/>
        <v>8850000</v>
      </c>
      <c r="J215" s="1">
        <v>177000</v>
      </c>
      <c r="K215" s="267">
        <v>46079</v>
      </c>
      <c r="L215" s="267">
        <v>46109</v>
      </c>
      <c r="M215" s="1" t="str">
        <f t="shared" ca="1" si="32"/>
        <v>Open</v>
      </c>
      <c r="N215" s="199" t="s">
        <v>564</v>
      </c>
      <c r="O215" s="1" t="s">
        <v>563</v>
      </c>
    </row>
    <row r="216" spans="4:15" ht="54.95" customHeight="1" x14ac:dyDescent="0.25">
      <c r="D216" s="257">
        <v>205</v>
      </c>
      <c r="E216" s="1" t="s">
        <v>141</v>
      </c>
      <c r="F216" s="1" t="s">
        <v>18</v>
      </c>
      <c r="G216" s="1" t="s">
        <v>568</v>
      </c>
      <c r="H216" s="1">
        <f t="shared" si="34"/>
        <v>0.14929999999999999</v>
      </c>
      <c r="I216" s="1">
        <v>1493000</v>
      </c>
      <c r="J216" s="1">
        <v>44800</v>
      </c>
      <c r="K216" s="267">
        <v>46079</v>
      </c>
      <c r="L216" s="267">
        <v>46097</v>
      </c>
      <c r="M216" s="1" t="str">
        <f t="shared" ca="1" si="32"/>
        <v>Open</v>
      </c>
      <c r="N216" s="200" t="s">
        <v>567</v>
      </c>
      <c r="O216" s="1" t="s">
        <v>566</v>
      </c>
    </row>
    <row r="217" spans="4:15" ht="54.95" customHeight="1" x14ac:dyDescent="0.25">
      <c r="D217" s="257">
        <v>206</v>
      </c>
      <c r="E217" s="1" t="s">
        <v>54</v>
      </c>
      <c r="F217" s="1" t="s">
        <v>63</v>
      </c>
      <c r="G217" s="1" t="s">
        <v>572</v>
      </c>
      <c r="H217" s="1">
        <f t="shared" si="34"/>
        <v>0.26500000000000001</v>
      </c>
      <c r="I217" s="1">
        <v>2650000</v>
      </c>
      <c r="J217" s="1">
        <v>80000</v>
      </c>
      <c r="K217" s="267">
        <v>46079</v>
      </c>
      <c r="L217" s="267">
        <v>46102</v>
      </c>
      <c r="M217" s="1" t="str">
        <f t="shared" ca="1" si="32"/>
        <v>Open</v>
      </c>
      <c r="N217" s="201" t="s">
        <v>570</v>
      </c>
      <c r="O217" s="1" t="s">
        <v>569</v>
      </c>
    </row>
    <row r="218" spans="4:15" ht="54.95" customHeight="1" x14ac:dyDescent="0.25">
      <c r="D218" s="257">
        <v>207</v>
      </c>
      <c r="E218" s="1" t="s">
        <v>141</v>
      </c>
      <c r="F218" s="1" t="s">
        <v>18</v>
      </c>
      <c r="G218" s="1" t="s">
        <v>575</v>
      </c>
      <c r="H218" s="1">
        <f t="shared" si="34"/>
        <v>0.1487</v>
      </c>
      <c r="I218" s="1">
        <v>1487000</v>
      </c>
      <c r="J218" s="1">
        <v>44700</v>
      </c>
      <c r="K218" s="267">
        <v>46079</v>
      </c>
      <c r="L218" s="267">
        <v>46097</v>
      </c>
      <c r="M218" s="1" t="str">
        <f t="shared" ca="1" si="32"/>
        <v>Open</v>
      </c>
      <c r="N218" s="202" t="s">
        <v>574</v>
      </c>
      <c r="O218" s="1" t="s">
        <v>573</v>
      </c>
    </row>
    <row r="219" spans="4:15" ht="54.95" customHeight="1" x14ac:dyDescent="0.25">
      <c r="D219" s="257">
        <v>208</v>
      </c>
      <c r="E219" s="1" t="s">
        <v>141</v>
      </c>
      <c r="F219" s="1" t="s">
        <v>18</v>
      </c>
      <c r="G219" s="1" t="s">
        <v>578</v>
      </c>
      <c r="H219" s="1">
        <f t="shared" si="34"/>
        <v>0.1487</v>
      </c>
      <c r="I219" s="1">
        <v>1487000</v>
      </c>
      <c r="J219" s="1">
        <v>44600</v>
      </c>
      <c r="K219" s="267">
        <v>46079</v>
      </c>
      <c r="L219" s="267">
        <v>46097</v>
      </c>
      <c r="M219" s="1" t="str">
        <f t="shared" ca="1" si="32"/>
        <v>Open</v>
      </c>
      <c r="N219" s="203" t="s">
        <v>577</v>
      </c>
      <c r="O219" s="1" t="s">
        <v>576</v>
      </c>
    </row>
    <row r="220" spans="4:15" ht="54.95" customHeight="1" x14ac:dyDescent="0.25">
      <c r="D220" s="257">
        <v>209</v>
      </c>
      <c r="E220" s="1" t="s">
        <v>15</v>
      </c>
      <c r="F220" s="1" t="s">
        <v>153</v>
      </c>
      <c r="G220" s="1" t="s">
        <v>581</v>
      </c>
      <c r="H220" s="1">
        <f t="shared" si="34"/>
        <v>0.29499999999999998</v>
      </c>
      <c r="I220" s="1">
        <f>J220*50</f>
        <v>2950000</v>
      </c>
      <c r="J220" s="1">
        <v>59000</v>
      </c>
      <c r="K220" s="267">
        <v>46079</v>
      </c>
      <c r="L220" s="267">
        <v>46109</v>
      </c>
      <c r="M220" s="1" t="str">
        <f t="shared" ca="1" si="32"/>
        <v>Open</v>
      </c>
      <c r="N220" s="204" t="s">
        <v>580</v>
      </c>
      <c r="O220" s="1" t="s">
        <v>579</v>
      </c>
    </row>
    <row r="221" spans="4:15" ht="54.95" customHeight="1" x14ac:dyDescent="0.25">
      <c r="D221" s="257">
        <v>210</v>
      </c>
      <c r="E221" s="1" t="s">
        <v>141</v>
      </c>
      <c r="F221" s="1" t="s">
        <v>18</v>
      </c>
      <c r="G221" s="1" t="s">
        <v>584</v>
      </c>
      <c r="H221" s="1">
        <f t="shared" si="34"/>
        <v>0.3</v>
      </c>
      <c r="I221" s="1">
        <v>3000000</v>
      </c>
      <c r="J221" s="1">
        <v>60000</v>
      </c>
      <c r="K221" s="267">
        <v>46079</v>
      </c>
      <c r="L221" s="267">
        <v>46093</v>
      </c>
      <c r="M221" s="1" t="str">
        <f t="shared" ca="1" si="32"/>
        <v>Open</v>
      </c>
      <c r="N221" s="205" t="s">
        <v>583</v>
      </c>
      <c r="O221" s="1" t="s">
        <v>582</v>
      </c>
    </row>
    <row r="222" spans="4:15" ht="54.95" customHeight="1" x14ac:dyDescent="0.25">
      <c r="D222" s="257">
        <v>211</v>
      </c>
      <c r="E222" s="1" t="s">
        <v>54</v>
      </c>
      <c r="F222" s="1" t="s">
        <v>587</v>
      </c>
      <c r="G222" s="1" t="s">
        <v>589</v>
      </c>
      <c r="H222" s="1">
        <f t="shared" si="34"/>
        <v>10.32</v>
      </c>
      <c r="I222" s="1">
        <v>103200000</v>
      </c>
      <c r="J222" s="1">
        <v>2450000</v>
      </c>
      <c r="K222" s="267">
        <v>46078</v>
      </c>
      <c r="L222" s="267">
        <v>46108</v>
      </c>
      <c r="M222" s="1" t="str">
        <f t="shared" ca="1" si="32"/>
        <v>Open</v>
      </c>
      <c r="N222" s="206" t="s">
        <v>586</v>
      </c>
      <c r="O222" s="1" t="s">
        <v>585</v>
      </c>
    </row>
    <row r="223" spans="4:15" ht="54.95" customHeight="1" x14ac:dyDescent="0.25">
      <c r="D223" s="257">
        <v>212</v>
      </c>
      <c r="E223" s="1" t="s">
        <v>141</v>
      </c>
      <c r="F223" s="1" t="s">
        <v>164</v>
      </c>
      <c r="G223" s="1" t="s">
        <v>592</v>
      </c>
      <c r="H223" s="1">
        <f t="shared" si="34"/>
        <v>4.63</v>
      </c>
      <c r="I223" s="1">
        <v>46300000</v>
      </c>
      <c r="J223" s="1">
        <v>925000</v>
      </c>
      <c r="K223" s="267">
        <v>46078</v>
      </c>
      <c r="L223" s="267">
        <v>46091</v>
      </c>
      <c r="M223" s="1" t="str">
        <f t="shared" ca="1" si="32"/>
        <v>Open</v>
      </c>
      <c r="N223" s="207" t="s">
        <v>591</v>
      </c>
      <c r="O223" s="1" t="s">
        <v>590</v>
      </c>
    </row>
    <row r="224" spans="4:15" ht="54.95" customHeight="1" x14ac:dyDescent="0.25">
      <c r="D224" s="257">
        <v>213</v>
      </c>
      <c r="E224" s="1" t="s">
        <v>403</v>
      </c>
      <c r="F224" s="1" t="s">
        <v>63</v>
      </c>
      <c r="G224" s="1" t="s">
        <v>595</v>
      </c>
      <c r="H224" s="1">
        <f t="shared" si="34"/>
        <v>0.21149999999999999</v>
      </c>
      <c r="I224" s="1">
        <v>2115000</v>
      </c>
      <c r="J224" s="1">
        <f>I224*2%</f>
        <v>42300</v>
      </c>
      <c r="K224" s="267">
        <v>46076</v>
      </c>
      <c r="L224" s="267">
        <v>46100</v>
      </c>
      <c r="M224" s="1" t="str">
        <f t="shared" ca="1" si="32"/>
        <v>Open</v>
      </c>
      <c r="N224" s="208" t="s">
        <v>594</v>
      </c>
      <c r="O224" s="1" t="s">
        <v>593</v>
      </c>
    </row>
    <row r="225" spans="4:15" ht="54.95" customHeight="1" x14ac:dyDescent="0.25">
      <c r="D225" s="257">
        <v>214</v>
      </c>
      <c r="E225" s="1" t="s">
        <v>15</v>
      </c>
      <c r="F225" s="1" t="s">
        <v>156</v>
      </c>
      <c r="G225" s="1" t="s">
        <v>598</v>
      </c>
      <c r="H225" s="1">
        <f t="shared" si="34"/>
        <v>1.37E-2</v>
      </c>
      <c r="I225" s="1">
        <v>137000</v>
      </c>
      <c r="J225" s="1">
        <v>4500</v>
      </c>
      <c r="K225" s="267">
        <v>46076</v>
      </c>
      <c r="L225" s="267">
        <v>46087</v>
      </c>
      <c r="M225" s="1" t="str">
        <f t="shared" ca="1" si="32"/>
        <v>Open</v>
      </c>
      <c r="N225" s="209" t="s">
        <v>597</v>
      </c>
      <c r="O225" s="1" t="s">
        <v>596</v>
      </c>
    </row>
    <row r="226" spans="4:15" ht="54.95" customHeight="1" x14ac:dyDescent="0.25">
      <c r="D226" s="257">
        <v>215</v>
      </c>
      <c r="E226" s="1" t="s">
        <v>403</v>
      </c>
      <c r="F226" s="1" t="s">
        <v>63</v>
      </c>
      <c r="G226" s="1" t="s">
        <v>601</v>
      </c>
      <c r="H226" s="1">
        <f t="shared" si="34"/>
        <v>0.21149999999999999</v>
      </c>
      <c r="I226" s="1">
        <v>2115000</v>
      </c>
      <c r="J226" s="1">
        <f>I226*2%</f>
        <v>42300</v>
      </c>
      <c r="K226" s="267">
        <v>46076</v>
      </c>
      <c r="L226" s="267">
        <v>46100</v>
      </c>
      <c r="M226" s="1" t="str">
        <f t="shared" ca="1" si="32"/>
        <v>Open</v>
      </c>
      <c r="N226" s="210" t="s">
        <v>600</v>
      </c>
      <c r="O226" s="1" t="s">
        <v>599</v>
      </c>
    </row>
    <row r="227" spans="4:15" ht="54.95" customHeight="1" x14ac:dyDescent="0.25">
      <c r="D227" s="257">
        <v>216</v>
      </c>
      <c r="E227" s="1" t="s">
        <v>54</v>
      </c>
      <c r="F227" s="1" t="s">
        <v>18</v>
      </c>
      <c r="G227" s="1" t="s">
        <v>604</v>
      </c>
      <c r="H227" s="1">
        <f t="shared" si="34"/>
        <v>0</v>
      </c>
      <c r="I227" s="1">
        <v>0</v>
      </c>
      <c r="J227" s="1">
        <v>0</v>
      </c>
      <c r="K227" s="267">
        <v>46076</v>
      </c>
      <c r="L227" s="267">
        <v>46087</v>
      </c>
      <c r="M227" s="1" t="str">
        <f t="shared" ca="1" si="32"/>
        <v>Open</v>
      </c>
      <c r="N227" s="211" t="s">
        <v>603</v>
      </c>
      <c r="O227" s="1" t="s">
        <v>602</v>
      </c>
    </row>
    <row r="228" spans="4:15" ht="54.95" customHeight="1" x14ac:dyDescent="0.25">
      <c r="D228" s="257">
        <v>217</v>
      </c>
      <c r="E228" s="1" t="s">
        <v>54</v>
      </c>
      <c r="F228" s="1" t="s">
        <v>63</v>
      </c>
      <c r="G228" s="1" t="s">
        <v>606</v>
      </c>
      <c r="H228" s="1">
        <f t="shared" si="34"/>
        <v>9.7100000000000006E-2</v>
      </c>
      <c r="I228" s="1">
        <v>971000.00000000012</v>
      </c>
      <c r="J228" s="1">
        <f>I228*2%</f>
        <v>19420.000000000004</v>
      </c>
      <c r="K228" s="267">
        <v>46076</v>
      </c>
      <c r="L228" s="267">
        <v>46099</v>
      </c>
      <c r="M228" s="1" t="str">
        <f t="shared" ca="1" si="32"/>
        <v>Open</v>
      </c>
      <c r="N228" s="212" t="s">
        <v>605</v>
      </c>
      <c r="O228" s="1" t="s">
        <v>454</v>
      </c>
    </row>
    <row r="229" spans="4:15" ht="54.95" customHeight="1" x14ac:dyDescent="0.25">
      <c r="D229" s="257">
        <v>218</v>
      </c>
      <c r="E229" s="1" t="s">
        <v>141</v>
      </c>
      <c r="F229" s="1" t="s">
        <v>57</v>
      </c>
      <c r="G229" s="1" t="s">
        <v>609</v>
      </c>
      <c r="H229" s="1">
        <f t="shared" si="34"/>
        <v>8.5</v>
      </c>
      <c r="I229" s="1">
        <f>J229*50</f>
        <v>85000000</v>
      </c>
      <c r="J229" s="1">
        <v>1700000</v>
      </c>
      <c r="K229" s="267">
        <v>46078</v>
      </c>
      <c r="L229" s="267">
        <v>46086</v>
      </c>
      <c r="M229" s="1" t="str">
        <f t="shared" ca="1" si="32"/>
        <v>Closing Today</v>
      </c>
      <c r="N229" s="213" t="s">
        <v>608</v>
      </c>
      <c r="O229" s="1" t="s">
        <v>607</v>
      </c>
    </row>
    <row r="230" spans="4:15" ht="54.95" customHeight="1" x14ac:dyDescent="0.25">
      <c r="D230" s="257">
        <v>219</v>
      </c>
      <c r="E230" s="1" t="s">
        <v>21</v>
      </c>
      <c r="F230" s="1" t="s">
        <v>18</v>
      </c>
      <c r="G230" s="1" t="s">
        <v>612</v>
      </c>
      <c r="H230" s="1">
        <f t="shared" si="34"/>
        <v>1.77</v>
      </c>
      <c r="I230" s="1">
        <v>17700000</v>
      </c>
      <c r="J230" s="1">
        <v>354000</v>
      </c>
      <c r="K230" s="267">
        <v>46078</v>
      </c>
      <c r="L230" s="267">
        <v>46092</v>
      </c>
      <c r="M230" s="1" t="str">
        <f t="shared" ca="1" si="32"/>
        <v>Open</v>
      </c>
      <c r="N230" s="214" t="s">
        <v>611</v>
      </c>
      <c r="O230" s="1" t="s">
        <v>610</v>
      </c>
    </row>
    <row r="231" spans="4:15" ht="54.95" customHeight="1" x14ac:dyDescent="0.25">
      <c r="D231" s="257">
        <v>220</v>
      </c>
      <c r="E231" s="1" t="s">
        <v>21</v>
      </c>
      <c r="F231" s="1" t="s">
        <v>18</v>
      </c>
      <c r="G231" s="1" t="s">
        <v>615</v>
      </c>
      <c r="H231" s="1">
        <f t="shared" si="34"/>
        <v>1.4</v>
      </c>
      <c r="I231" s="1">
        <v>14000000</v>
      </c>
      <c r="J231" s="1">
        <v>279000</v>
      </c>
      <c r="K231" s="267">
        <v>46078</v>
      </c>
      <c r="L231" s="267">
        <v>46093</v>
      </c>
      <c r="M231" s="1" t="str">
        <f t="shared" ca="1" si="32"/>
        <v>Open</v>
      </c>
      <c r="N231" s="215" t="s">
        <v>614</v>
      </c>
      <c r="O231" s="1" t="s">
        <v>613</v>
      </c>
    </row>
    <row r="232" spans="4:15" ht="54.95" customHeight="1" x14ac:dyDescent="0.25">
      <c r="D232" s="257">
        <v>221</v>
      </c>
      <c r="E232" s="1" t="s">
        <v>21</v>
      </c>
      <c r="F232" s="1" t="s">
        <v>18</v>
      </c>
      <c r="G232" s="1" t="s">
        <v>618</v>
      </c>
      <c r="H232" s="1">
        <f t="shared" si="34"/>
        <v>1.8</v>
      </c>
      <c r="I232" s="1">
        <v>18000000</v>
      </c>
      <c r="J232" s="1">
        <v>360000</v>
      </c>
      <c r="K232" s="267">
        <v>46078</v>
      </c>
      <c r="L232" s="267">
        <v>46093</v>
      </c>
      <c r="M232" s="1" t="str">
        <f t="shared" ca="1" si="32"/>
        <v>Open</v>
      </c>
      <c r="N232" s="216" t="s">
        <v>617</v>
      </c>
      <c r="O232" s="1" t="s">
        <v>616</v>
      </c>
    </row>
    <row r="233" spans="4:15" ht="54.95" customHeight="1" x14ac:dyDescent="0.25">
      <c r="D233" s="257">
        <v>222</v>
      </c>
      <c r="E233" s="1" t="s">
        <v>125</v>
      </c>
      <c r="F233" s="1" t="s">
        <v>164</v>
      </c>
      <c r="G233" s="1" t="s">
        <v>621</v>
      </c>
      <c r="H233" s="1">
        <f t="shared" si="34"/>
        <v>0.69120000000000004</v>
      </c>
      <c r="I233" s="1">
        <v>6912000</v>
      </c>
      <c r="J233" s="1">
        <v>138000</v>
      </c>
      <c r="K233" s="267">
        <v>46078</v>
      </c>
      <c r="L233" s="267">
        <v>46093</v>
      </c>
      <c r="M233" s="1" t="str">
        <f t="shared" ca="1" si="32"/>
        <v>Open</v>
      </c>
      <c r="N233" s="217" t="s">
        <v>620</v>
      </c>
      <c r="O233" s="1" t="s">
        <v>619</v>
      </c>
    </row>
    <row r="234" spans="4:15" ht="54.95" customHeight="1" x14ac:dyDescent="0.25">
      <c r="D234" s="257">
        <v>223</v>
      </c>
      <c r="E234" s="1" t="s">
        <v>21</v>
      </c>
      <c r="F234" s="1" t="s">
        <v>18</v>
      </c>
      <c r="G234" s="1" t="s">
        <v>624</v>
      </c>
      <c r="H234" s="1">
        <f t="shared" si="34"/>
        <v>1.93</v>
      </c>
      <c r="I234" s="1">
        <v>19300000</v>
      </c>
      <c r="J234" s="1">
        <v>386000</v>
      </c>
      <c r="K234" s="267">
        <v>46078</v>
      </c>
      <c r="L234" s="267">
        <v>46093</v>
      </c>
      <c r="M234" s="1" t="str">
        <f t="shared" ca="1" si="32"/>
        <v>Open</v>
      </c>
      <c r="N234" s="218" t="s">
        <v>623</v>
      </c>
      <c r="O234" s="1" t="s">
        <v>622</v>
      </c>
    </row>
    <row r="235" spans="4:15" ht="54.95" customHeight="1" x14ac:dyDescent="0.25">
      <c r="D235" s="257">
        <v>224</v>
      </c>
      <c r="E235" s="1" t="s">
        <v>15</v>
      </c>
      <c r="F235" s="1" t="s">
        <v>627</v>
      </c>
      <c r="G235" s="1" t="s">
        <v>628</v>
      </c>
      <c r="H235" s="1">
        <f t="shared" si="34"/>
        <v>1</v>
      </c>
      <c r="I235" s="1">
        <v>10000000</v>
      </c>
      <c r="J235" s="1">
        <v>200000</v>
      </c>
      <c r="K235" s="267">
        <v>46078</v>
      </c>
      <c r="L235" s="267">
        <v>46092</v>
      </c>
      <c r="M235" s="1" t="str">
        <f t="shared" ca="1" si="32"/>
        <v>Open</v>
      </c>
      <c r="N235" s="219" t="s">
        <v>626</v>
      </c>
      <c r="O235" s="1" t="s">
        <v>625</v>
      </c>
    </row>
    <row r="236" spans="4:15" ht="54.95" customHeight="1" x14ac:dyDescent="0.25">
      <c r="D236" s="257">
        <v>225</v>
      </c>
      <c r="E236" s="1" t="s">
        <v>54</v>
      </c>
      <c r="F236" s="1" t="s">
        <v>144</v>
      </c>
      <c r="G236" s="1" t="s">
        <v>631</v>
      </c>
      <c r="H236" s="1">
        <f t="shared" si="34"/>
        <v>0.75</v>
      </c>
      <c r="I236" s="1">
        <v>7500000</v>
      </c>
      <c r="J236" s="1">
        <v>150000</v>
      </c>
      <c r="K236" s="267">
        <v>46078</v>
      </c>
      <c r="L236" s="267">
        <v>46095</v>
      </c>
      <c r="M236" s="1" t="str">
        <f t="shared" ca="1" si="32"/>
        <v>Open</v>
      </c>
      <c r="N236" s="220" t="s">
        <v>630</v>
      </c>
      <c r="O236" s="1" t="s">
        <v>629</v>
      </c>
    </row>
    <row r="237" spans="4:15" ht="54.95" customHeight="1" x14ac:dyDescent="0.25">
      <c r="D237" s="257">
        <v>226</v>
      </c>
      <c r="E237" s="1" t="s">
        <v>21</v>
      </c>
      <c r="F237" s="1" t="s">
        <v>18</v>
      </c>
      <c r="G237" s="1" t="s">
        <v>161</v>
      </c>
      <c r="H237" s="1">
        <f t="shared" si="34"/>
        <v>1.1299999999999999</v>
      </c>
      <c r="I237" s="1">
        <v>11299999.999999998</v>
      </c>
      <c r="J237" s="1">
        <v>227000</v>
      </c>
      <c r="K237" s="267">
        <v>46078</v>
      </c>
      <c r="L237" s="267">
        <v>46090</v>
      </c>
      <c r="M237" s="1" t="str">
        <f t="shared" ca="1" si="32"/>
        <v>Open</v>
      </c>
      <c r="N237" s="221" t="s">
        <v>633</v>
      </c>
      <c r="O237" s="1" t="s">
        <v>632</v>
      </c>
    </row>
    <row r="238" spans="4:15" ht="54.95" customHeight="1" x14ac:dyDescent="0.25">
      <c r="D238" s="257">
        <v>227</v>
      </c>
      <c r="E238" s="1" t="s">
        <v>21</v>
      </c>
      <c r="F238" s="1" t="s">
        <v>18</v>
      </c>
      <c r="G238" s="1" t="s">
        <v>612</v>
      </c>
      <c r="H238" s="1">
        <f t="shared" si="34"/>
        <v>1.78</v>
      </c>
      <c r="I238" s="1">
        <v>17800000</v>
      </c>
      <c r="J238" s="1">
        <v>357000</v>
      </c>
      <c r="K238" s="267">
        <v>46078</v>
      </c>
      <c r="L238" s="267">
        <v>46092</v>
      </c>
      <c r="M238" s="1" t="str">
        <f t="shared" ca="1" si="32"/>
        <v>Open</v>
      </c>
      <c r="N238" s="222" t="s">
        <v>635</v>
      </c>
      <c r="O238" s="1" t="s">
        <v>634</v>
      </c>
    </row>
    <row r="239" spans="4:15" ht="54.95" customHeight="1" x14ac:dyDescent="0.25">
      <c r="D239" s="257">
        <v>228</v>
      </c>
      <c r="E239" s="1" t="s">
        <v>101</v>
      </c>
      <c r="F239" s="1" t="s">
        <v>638</v>
      </c>
      <c r="G239" s="1" t="s">
        <v>639</v>
      </c>
      <c r="H239" s="1">
        <f t="shared" si="34"/>
        <v>3</v>
      </c>
      <c r="I239" s="1">
        <f t="shared" ref="I239:I240" si="36">J239*50</f>
        <v>30000000</v>
      </c>
      <c r="J239" s="1">
        <v>600000</v>
      </c>
      <c r="K239" s="267">
        <v>46078</v>
      </c>
      <c r="L239" s="267">
        <v>46098</v>
      </c>
      <c r="M239" s="1" t="str">
        <f t="shared" ca="1" si="32"/>
        <v>Open</v>
      </c>
      <c r="N239" s="223" t="s">
        <v>637</v>
      </c>
      <c r="O239" s="1" t="s">
        <v>636</v>
      </c>
    </row>
    <row r="240" spans="4:15" ht="54.95" customHeight="1" x14ac:dyDescent="0.25">
      <c r="D240" s="257">
        <v>229</v>
      </c>
      <c r="E240" s="1" t="s">
        <v>147</v>
      </c>
      <c r="F240" s="1" t="s">
        <v>18</v>
      </c>
      <c r="G240" s="1" t="s">
        <v>642</v>
      </c>
      <c r="H240" s="1">
        <f t="shared" si="34"/>
        <v>0.1585</v>
      </c>
      <c r="I240" s="1">
        <f t="shared" si="36"/>
        <v>1585000</v>
      </c>
      <c r="J240" s="1">
        <v>31700</v>
      </c>
      <c r="K240" s="267">
        <v>46078</v>
      </c>
      <c r="L240" s="267">
        <v>46097</v>
      </c>
      <c r="M240" s="1" t="str">
        <f t="shared" ca="1" si="32"/>
        <v>Open</v>
      </c>
      <c r="N240" s="224" t="s">
        <v>641</v>
      </c>
      <c r="O240" s="1" t="s">
        <v>640</v>
      </c>
    </row>
    <row r="241" spans="4:15" ht="54.95" customHeight="1" x14ac:dyDescent="0.25">
      <c r="D241" s="257">
        <v>230</v>
      </c>
      <c r="E241" s="1" t="s">
        <v>21</v>
      </c>
      <c r="F241" s="1" t="s">
        <v>18</v>
      </c>
      <c r="G241" s="1" t="s">
        <v>645</v>
      </c>
      <c r="H241" s="1">
        <f t="shared" si="34"/>
        <v>1.24</v>
      </c>
      <c r="I241" s="1">
        <v>12400000</v>
      </c>
      <c r="J241" s="1">
        <v>248000</v>
      </c>
      <c r="K241" s="267">
        <v>46078</v>
      </c>
      <c r="L241" s="267">
        <v>46093</v>
      </c>
      <c r="M241" s="1" t="str">
        <f t="shared" ca="1" si="32"/>
        <v>Open</v>
      </c>
      <c r="N241" s="225" t="s">
        <v>644</v>
      </c>
      <c r="O241" s="1" t="s">
        <v>643</v>
      </c>
    </row>
    <row r="242" spans="4:15" ht="54.95" customHeight="1" x14ac:dyDescent="0.25">
      <c r="D242" s="257">
        <v>231</v>
      </c>
      <c r="E242" s="1" t="s">
        <v>21</v>
      </c>
      <c r="F242" s="1" t="s">
        <v>18</v>
      </c>
      <c r="G242" s="1" t="s">
        <v>648</v>
      </c>
      <c r="H242" s="1">
        <f t="shared" si="34"/>
        <v>1.92</v>
      </c>
      <c r="I242" s="1">
        <v>19200000</v>
      </c>
      <c r="J242" s="1">
        <v>383000</v>
      </c>
      <c r="K242" s="267">
        <v>46078</v>
      </c>
      <c r="L242" s="267">
        <v>46093</v>
      </c>
      <c r="M242" s="1" t="str">
        <f t="shared" ca="1" si="32"/>
        <v>Open</v>
      </c>
      <c r="N242" s="226" t="s">
        <v>647</v>
      </c>
      <c r="O242" s="1" t="s">
        <v>646</v>
      </c>
    </row>
    <row r="243" spans="4:15" ht="54.95" customHeight="1" x14ac:dyDescent="0.25">
      <c r="D243" s="257">
        <v>232</v>
      </c>
      <c r="E243" s="1" t="s">
        <v>651</v>
      </c>
      <c r="F243" s="1" t="s">
        <v>156</v>
      </c>
      <c r="G243" s="1" t="s">
        <v>650</v>
      </c>
      <c r="H243" s="1">
        <f t="shared" si="34"/>
        <v>0.16</v>
      </c>
      <c r="I243" s="1">
        <f>J243*50</f>
        <v>1600000</v>
      </c>
      <c r="J243" s="1">
        <v>32000</v>
      </c>
      <c r="K243" s="267">
        <v>46077</v>
      </c>
      <c r="L243" s="267">
        <v>46088</v>
      </c>
      <c r="M243" s="1" t="str">
        <f t="shared" ca="1" si="32"/>
        <v>Open</v>
      </c>
      <c r="N243" s="227" t="s">
        <v>649</v>
      </c>
      <c r="O243" s="1" t="s">
        <v>649</v>
      </c>
    </row>
    <row r="244" spans="4:15" ht="54.95" customHeight="1" x14ac:dyDescent="0.25">
      <c r="D244" s="257">
        <v>233</v>
      </c>
      <c r="E244" s="1" t="s">
        <v>54</v>
      </c>
      <c r="F244" s="1" t="s">
        <v>63</v>
      </c>
      <c r="G244" s="1" t="s">
        <v>654</v>
      </c>
      <c r="H244" s="1">
        <f t="shared" si="34"/>
        <v>0.39049999999999996</v>
      </c>
      <c r="I244" s="1">
        <v>3904999.9999999995</v>
      </c>
      <c r="J244" s="1">
        <v>98000</v>
      </c>
      <c r="K244" s="267">
        <v>46077</v>
      </c>
      <c r="L244" s="267">
        <v>46099</v>
      </c>
      <c r="M244" s="1" t="str">
        <f t="shared" ca="1" si="32"/>
        <v>Open</v>
      </c>
      <c r="N244" s="228" t="s">
        <v>653</v>
      </c>
      <c r="O244" s="1" t="s">
        <v>652</v>
      </c>
    </row>
    <row r="245" spans="4:15" ht="54.95" customHeight="1" x14ac:dyDescent="0.25">
      <c r="D245" s="257">
        <v>234</v>
      </c>
      <c r="E245" s="1" t="s">
        <v>403</v>
      </c>
      <c r="F245" s="1" t="s">
        <v>18</v>
      </c>
      <c r="G245" s="1" t="s">
        <v>657</v>
      </c>
      <c r="H245" s="1">
        <f t="shared" si="34"/>
        <v>0.41499999999999998</v>
      </c>
      <c r="I245" s="1">
        <f>J245*50</f>
        <v>4150000</v>
      </c>
      <c r="J245" s="1">
        <v>83000</v>
      </c>
      <c r="K245" s="267">
        <v>46077</v>
      </c>
      <c r="L245" s="267">
        <v>46093</v>
      </c>
      <c r="M245" s="1" t="str">
        <f t="shared" ca="1" si="32"/>
        <v>Open</v>
      </c>
      <c r="N245" s="229" t="s">
        <v>656</v>
      </c>
      <c r="O245" s="1" t="s">
        <v>655</v>
      </c>
    </row>
    <row r="246" spans="4:15" ht="54.95" customHeight="1" x14ac:dyDescent="0.25">
      <c r="D246" s="257">
        <v>235</v>
      </c>
      <c r="E246" s="1" t="s">
        <v>141</v>
      </c>
      <c r="F246" s="1" t="s">
        <v>18</v>
      </c>
      <c r="G246" s="1" t="s">
        <v>660</v>
      </c>
      <c r="H246" s="1">
        <f t="shared" si="34"/>
        <v>0.15</v>
      </c>
      <c r="I246" s="1">
        <v>1500000</v>
      </c>
      <c r="J246" s="1">
        <v>45000</v>
      </c>
      <c r="K246" s="267">
        <v>46077</v>
      </c>
      <c r="L246" s="267">
        <v>46093</v>
      </c>
      <c r="M246" s="1" t="str">
        <f t="shared" ca="1" si="32"/>
        <v>Open</v>
      </c>
      <c r="N246" s="230" t="s">
        <v>659</v>
      </c>
      <c r="O246" s="1" t="s">
        <v>658</v>
      </c>
    </row>
    <row r="247" spans="4:15" ht="54.95" customHeight="1" x14ac:dyDescent="0.25">
      <c r="D247" s="257">
        <v>236</v>
      </c>
      <c r="E247" s="1" t="s">
        <v>316</v>
      </c>
      <c r="F247" s="1" t="s">
        <v>164</v>
      </c>
      <c r="G247" s="1" t="s">
        <v>663</v>
      </c>
      <c r="H247" s="1">
        <f t="shared" si="34"/>
        <v>1.49</v>
      </c>
      <c r="I247" s="1">
        <v>14900000</v>
      </c>
      <c r="J247" s="1">
        <v>298000</v>
      </c>
      <c r="K247" s="267">
        <v>46077</v>
      </c>
      <c r="L247" s="267">
        <v>46090</v>
      </c>
      <c r="M247" s="1" t="str">
        <f t="shared" ca="1" si="32"/>
        <v>Open</v>
      </c>
      <c r="N247" s="231" t="s">
        <v>662</v>
      </c>
      <c r="O247" s="1" t="s">
        <v>661</v>
      </c>
    </row>
    <row r="248" spans="4:15" ht="54.95" customHeight="1" x14ac:dyDescent="0.25">
      <c r="D248" s="257">
        <v>237</v>
      </c>
      <c r="E248" s="1" t="s">
        <v>141</v>
      </c>
      <c r="F248" s="1" t="s">
        <v>18</v>
      </c>
      <c r="G248" s="1" t="s">
        <v>666</v>
      </c>
      <c r="H248" s="1">
        <f t="shared" si="34"/>
        <v>0.1255</v>
      </c>
      <c r="I248" s="1">
        <v>1255000</v>
      </c>
      <c r="J248" s="1">
        <v>45000</v>
      </c>
      <c r="K248" s="267">
        <v>46077</v>
      </c>
      <c r="L248" s="267">
        <v>46093</v>
      </c>
      <c r="M248" s="1" t="str">
        <f t="shared" ca="1" si="32"/>
        <v>Open</v>
      </c>
      <c r="N248" s="232" t="s">
        <v>665</v>
      </c>
      <c r="O248" s="1" t="s">
        <v>664</v>
      </c>
    </row>
    <row r="249" spans="4:15" ht="54.95" customHeight="1" x14ac:dyDescent="0.25">
      <c r="D249" s="257">
        <v>238</v>
      </c>
      <c r="E249" s="1" t="s">
        <v>147</v>
      </c>
      <c r="F249" s="1" t="s">
        <v>18</v>
      </c>
      <c r="G249" s="1" t="s">
        <v>669</v>
      </c>
      <c r="H249" s="1">
        <f t="shared" si="34"/>
        <v>0.20130000000000001</v>
      </c>
      <c r="I249" s="1">
        <v>2013000</v>
      </c>
      <c r="J249" s="1">
        <v>61000</v>
      </c>
      <c r="K249" s="267">
        <v>46077</v>
      </c>
      <c r="L249" s="267">
        <v>46093</v>
      </c>
      <c r="M249" s="1" t="str">
        <f t="shared" ca="1" si="32"/>
        <v>Open</v>
      </c>
      <c r="N249" s="233" t="s">
        <v>668</v>
      </c>
      <c r="O249" s="1" t="s">
        <v>667</v>
      </c>
    </row>
    <row r="250" spans="4:15" ht="54.95" customHeight="1" x14ac:dyDescent="0.25">
      <c r="D250" s="257">
        <v>239</v>
      </c>
      <c r="E250" s="1" t="s">
        <v>141</v>
      </c>
      <c r="F250" s="1" t="s">
        <v>18</v>
      </c>
      <c r="G250" s="1" t="s">
        <v>672</v>
      </c>
      <c r="H250" s="1">
        <f t="shared" si="34"/>
        <v>0.20749999999999999</v>
      </c>
      <c r="I250" s="1">
        <f>J250*50</f>
        <v>2075000</v>
      </c>
      <c r="J250" s="1">
        <v>41500</v>
      </c>
      <c r="K250" s="267">
        <v>46077</v>
      </c>
      <c r="L250" s="267">
        <v>46098</v>
      </c>
      <c r="M250" s="1" t="str">
        <f t="shared" ca="1" si="32"/>
        <v>Open</v>
      </c>
      <c r="N250" s="234" t="s">
        <v>671</v>
      </c>
      <c r="O250" s="1" t="s">
        <v>670</v>
      </c>
    </row>
    <row r="251" spans="4:15" ht="54.95" customHeight="1" x14ac:dyDescent="0.25">
      <c r="D251" s="257">
        <v>240</v>
      </c>
      <c r="E251" s="1" t="s">
        <v>147</v>
      </c>
      <c r="F251" s="1" t="s">
        <v>18</v>
      </c>
      <c r="G251" s="1" t="s">
        <v>675</v>
      </c>
      <c r="H251" s="1">
        <f t="shared" si="34"/>
        <v>0.15049999999999999</v>
      </c>
      <c r="I251" s="1">
        <v>1505000</v>
      </c>
      <c r="J251" s="1">
        <v>45600</v>
      </c>
      <c r="K251" s="267">
        <v>46077</v>
      </c>
      <c r="L251" s="267">
        <v>46093</v>
      </c>
      <c r="M251" s="1" t="str">
        <f t="shared" ca="1" si="32"/>
        <v>Open</v>
      </c>
      <c r="N251" s="235" t="s">
        <v>674</v>
      </c>
      <c r="O251" s="1" t="s">
        <v>673</v>
      </c>
    </row>
    <row r="252" spans="4:15" ht="54.95" customHeight="1" x14ac:dyDescent="0.25">
      <c r="D252" s="257">
        <v>241</v>
      </c>
      <c r="E252" s="1" t="s">
        <v>22</v>
      </c>
      <c r="F252" s="1" t="s">
        <v>18</v>
      </c>
      <c r="G252" s="1" t="s">
        <v>678</v>
      </c>
      <c r="H252" s="1">
        <f t="shared" si="34"/>
        <v>0.14910000000000001</v>
      </c>
      <c r="I252" s="1">
        <v>1491000</v>
      </c>
      <c r="J252" s="1">
        <v>45000</v>
      </c>
      <c r="K252" s="267">
        <v>46077</v>
      </c>
      <c r="L252" s="267">
        <v>46093</v>
      </c>
      <c r="M252" s="1" t="str">
        <f t="shared" ca="1" si="32"/>
        <v>Open</v>
      </c>
      <c r="N252" s="236" t="s">
        <v>677</v>
      </c>
      <c r="O252" s="1" t="s">
        <v>676</v>
      </c>
    </row>
    <row r="253" spans="4:15" ht="54.95" customHeight="1" x14ac:dyDescent="0.25">
      <c r="D253" s="257">
        <v>242</v>
      </c>
      <c r="E253" s="1" t="s">
        <v>101</v>
      </c>
      <c r="F253" s="1" t="s">
        <v>18</v>
      </c>
      <c r="G253" s="1" t="s">
        <v>681</v>
      </c>
      <c r="H253" s="1">
        <f t="shared" si="34"/>
        <v>0.27</v>
      </c>
      <c r="I253" s="1">
        <v>2700000</v>
      </c>
      <c r="J253" s="1">
        <v>54000</v>
      </c>
      <c r="K253" s="267">
        <v>46076</v>
      </c>
      <c r="L253" s="267">
        <v>46092</v>
      </c>
      <c r="M253" s="1" t="str">
        <f t="shared" ca="1" si="32"/>
        <v>Open</v>
      </c>
      <c r="N253" s="237" t="s">
        <v>680</v>
      </c>
      <c r="O253" s="1" t="s">
        <v>679</v>
      </c>
    </row>
    <row r="254" spans="4:15" ht="54.95" customHeight="1" x14ac:dyDescent="0.25">
      <c r="D254" s="257">
        <v>243</v>
      </c>
      <c r="E254" s="1" t="s">
        <v>21</v>
      </c>
      <c r="F254" s="1" t="s">
        <v>52</v>
      </c>
      <c r="G254" s="1" t="s">
        <v>684</v>
      </c>
      <c r="H254" s="1">
        <f t="shared" si="34"/>
        <v>0.2117</v>
      </c>
      <c r="I254" s="1">
        <v>2117000</v>
      </c>
      <c r="J254" s="1">
        <v>49960</v>
      </c>
      <c r="K254" s="267">
        <v>46076</v>
      </c>
      <c r="L254" s="267">
        <v>46090</v>
      </c>
      <c r="M254" s="1" t="str">
        <f t="shared" ca="1" si="32"/>
        <v>Open</v>
      </c>
      <c r="N254" s="238" t="s">
        <v>683</v>
      </c>
      <c r="O254" s="1" t="s">
        <v>682</v>
      </c>
    </row>
    <row r="255" spans="4:15" ht="54.95" customHeight="1" x14ac:dyDescent="0.25">
      <c r="D255" s="257">
        <v>244</v>
      </c>
      <c r="E255" s="1" t="s">
        <v>15</v>
      </c>
      <c r="F255" s="1" t="s">
        <v>29</v>
      </c>
      <c r="G255" s="1" t="s">
        <v>687</v>
      </c>
      <c r="H255" s="1">
        <f t="shared" si="34"/>
        <v>0.46</v>
      </c>
      <c r="I255" s="1">
        <f>J255*50</f>
        <v>4600000</v>
      </c>
      <c r="J255" s="1">
        <v>92000</v>
      </c>
      <c r="K255" s="267">
        <v>46076</v>
      </c>
      <c r="L255" s="267">
        <v>46090</v>
      </c>
      <c r="M255" s="1" t="str">
        <f t="shared" ca="1" si="32"/>
        <v>Open</v>
      </c>
      <c r="N255" s="239" t="s">
        <v>686</v>
      </c>
      <c r="O255" s="1" t="s">
        <v>685</v>
      </c>
    </row>
    <row r="256" spans="4:15" ht="54.95" customHeight="1" x14ac:dyDescent="0.25">
      <c r="D256" s="257">
        <v>245</v>
      </c>
      <c r="E256" s="1" t="s">
        <v>54</v>
      </c>
      <c r="F256" s="1" t="s">
        <v>18</v>
      </c>
      <c r="G256" s="1" t="s">
        <v>690</v>
      </c>
      <c r="H256" s="1">
        <f t="shared" si="34"/>
        <v>1.7</v>
      </c>
      <c r="I256" s="1">
        <v>17000000</v>
      </c>
      <c r="J256" s="1">
        <v>340000</v>
      </c>
      <c r="K256" s="267">
        <v>46076</v>
      </c>
      <c r="L256" s="267">
        <v>46090</v>
      </c>
      <c r="M256" s="1" t="str">
        <f t="shared" ca="1" si="32"/>
        <v>Open</v>
      </c>
      <c r="N256" s="240" t="s">
        <v>689</v>
      </c>
      <c r="O256" s="1" t="s">
        <v>688</v>
      </c>
    </row>
    <row r="257" spans="4:15" ht="54.95" customHeight="1" x14ac:dyDescent="0.25">
      <c r="D257" s="257">
        <v>246</v>
      </c>
      <c r="E257" s="1" t="s">
        <v>54</v>
      </c>
      <c r="F257" s="1" t="s">
        <v>11</v>
      </c>
      <c r="G257" s="1" t="s">
        <v>693</v>
      </c>
      <c r="H257" s="1">
        <f t="shared" si="34"/>
        <v>0.85619999999999996</v>
      </c>
      <c r="I257" s="1">
        <v>8562000</v>
      </c>
      <c r="J257" s="1">
        <v>171000</v>
      </c>
      <c r="K257" s="267">
        <v>46076</v>
      </c>
      <c r="L257" s="267">
        <v>46086</v>
      </c>
      <c r="M257" s="1" t="str">
        <f t="shared" ca="1" si="32"/>
        <v>Closing Today</v>
      </c>
      <c r="N257" s="241" t="s">
        <v>692</v>
      </c>
      <c r="O257" s="1" t="s">
        <v>691</v>
      </c>
    </row>
    <row r="258" spans="4:15" ht="54.95" customHeight="1" x14ac:dyDescent="0.25">
      <c r="D258" s="257">
        <v>247</v>
      </c>
      <c r="E258" s="1" t="s">
        <v>21</v>
      </c>
      <c r="F258" s="1" t="s">
        <v>52</v>
      </c>
      <c r="G258" s="1" t="s">
        <v>696</v>
      </c>
      <c r="H258" s="1">
        <f t="shared" si="34"/>
        <v>0.14119999999999999</v>
      </c>
      <c r="I258" s="1">
        <v>1412000</v>
      </c>
      <c r="J258" s="1">
        <v>30640</v>
      </c>
      <c r="K258" s="267">
        <v>46076</v>
      </c>
      <c r="L258" s="267">
        <v>46090</v>
      </c>
      <c r="M258" s="1" t="str">
        <f t="shared" ca="1" si="32"/>
        <v>Open</v>
      </c>
      <c r="N258" s="242" t="s">
        <v>695</v>
      </c>
      <c r="O258" s="1" t="s">
        <v>694</v>
      </c>
    </row>
    <row r="259" spans="4:15" ht="54.95" customHeight="1" x14ac:dyDescent="0.25">
      <c r="D259" s="257">
        <v>248</v>
      </c>
      <c r="E259" s="1" t="s">
        <v>65</v>
      </c>
      <c r="F259" s="1" t="s">
        <v>295</v>
      </c>
      <c r="G259" s="1" t="s">
        <v>699</v>
      </c>
      <c r="H259" s="1">
        <f t="shared" si="34"/>
        <v>3</v>
      </c>
      <c r="I259" s="1">
        <v>30000000</v>
      </c>
      <c r="J259" s="1">
        <v>625000</v>
      </c>
      <c r="K259" s="267">
        <v>46076</v>
      </c>
      <c r="L259" s="267">
        <v>46098</v>
      </c>
      <c r="M259" s="1" t="str">
        <f t="shared" ca="1" si="32"/>
        <v>Open</v>
      </c>
      <c r="N259" s="243" t="s">
        <v>698</v>
      </c>
      <c r="O259" s="1" t="s">
        <v>697</v>
      </c>
    </row>
    <row r="260" spans="4:15" ht="54.95" customHeight="1" x14ac:dyDescent="0.25">
      <c r="D260" s="257">
        <v>249</v>
      </c>
      <c r="E260" s="1" t="s">
        <v>21</v>
      </c>
      <c r="F260" s="1" t="s">
        <v>63</v>
      </c>
      <c r="G260" s="1" t="s">
        <v>702</v>
      </c>
      <c r="H260" s="1">
        <f t="shared" si="34"/>
        <v>0.4466</v>
      </c>
      <c r="I260" s="1">
        <v>4466000</v>
      </c>
      <c r="J260" s="1">
        <v>112000.00000000001</v>
      </c>
      <c r="K260" s="267">
        <v>46076</v>
      </c>
      <c r="L260" s="267">
        <v>46091</v>
      </c>
      <c r="M260" s="1" t="str">
        <f t="shared" ca="1" si="32"/>
        <v>Open</v>
      </c>
      <c r="N260" s="244" t="s">
        <v>701</v>
      </c>
      <c r="O260" s="1" t="s">
        <v>700</v>
      </c>
    </row>
    <row r="261" spans="4:15" ht="54.95" customHeight="1" x14ac:dyDescent="0.25">
      <c r="D261" s="257">
        <v>250</v>
      </c>
      <c r="E261" s="1" t="s">
        <v>147</v>
      </c>
      <c r="F261" s="1" t="s">
        <v>18</v>
      </c>
      <c r="G261" s="1" t="s">
        <v>705</v>
      </c>
      <c r="H261" s="1">
        <f t="shared" si="34"/>
        <v>0.28999999999999998</v>
      </c>
      <c r="I261" s="1">
        <f>J261*50</f>
        <v>2900000</v>
      </c>
      <c r="J261" s="1">
        <v>58000</v>
      </c>
      <c r="K261" s="267">
        <v>46076</v>
      </c>
      <c r="L261" s="267">
        <v>46092</v>
      </c>
      <c r="M261" s="1" t="str">
        <f t="shared" ca="1" si="32"/>
        <v>Open</v>
      </c>
      <c r="N261" s="245" t="s">
        <v>704</v>
      </c>
      <c r="O261" s="1" t="s">
        <v>703</v>
      </c>
    </row>
    <row r="262" spans="4:15" ht="54.95" customHeight="1" x14ac:dyDescent="0.25">
      <c r="D262" s="257">
        <v>251</v>
      </c>
      <c r="E262" s="1" t="s">
        <v>72</v>
      </c>
      <c r="F262" s="1" t="s">
        <v>63</v>
      </c>
      <c r="G262" s="1" t="s">
        <v>708</v>
      </c>
      <c r="H262" s="1">
        <f t="shared" si="34"/>
        <v>4.1799999999999997E-2</v>
      </c>
      <c r="I262" s="1">
        <v>418000</v>
      </c>
      <c r="J262" s="1">
        <v>10500</v>
      </c>
      <c r="K262" s="267">
        <v>46076</v>
      </c>
      <c r="L262" s="267">
        <v>46100</v>
      </c>
      <c r="M262" s="1" t="str">
        <f t="shared" ca="1" si="32"/>
        <v>Open</v>
      </c>
      <c r="N262" s="246" t="s">
        <v>707</v>
      </c>
      <c r="O262" s="1" t="s">
        <v>706</v>
      </c>
    </row>
    <row r="263" spans="4:15" ht="54.95" customHeight="1" x14ac:dyDescent="0.25">
      <c r="D263" s="257">
        <v>252</v>
      </c>
      <c r="E263" s="1" t="s">
        <v>147</v>
      </c>
      <c r="F263" s="1" t="s">
        <v>18</v>
      </c>
      <c r="G263" s="1" t="s">
        <v>711</v>
      </c>
      <c r="H263" s="1">
        <f t="shared" si="34"/>
        <v>0.2525</v>
      </c>
      <c r="I263" s="1">
        <v>2525000</v>
      </c>
      <c r="J263" s="1">
        <v>50500</v>
      </c>
      <c r="K263" s="267">
        <v>46076</v>
      </c>
      <c r="L263" s="267">
        <v>46092</v>
      </c>
      <c r="M263" s="1" t="str">
        <f t="shared" ca="1" si="32"/>
        <v>Open</v>
      </c>
      <c r="N263" s="247" t="s">
        <v>710</v>
      </c>
      <c r="O263" s="1" t="s">
        <v>709</v>
      </c>
    </row>
    <row r="264" spans="4:15" ht="54.95" customHeight="1" x14ac:dyDescent="0.25">
      <c r="D264" s="257">
        <v>253</v>
      </c>
      <c r="E264" s="1" t="s">
        <v>54</v>
      </c>
      <c r="F264" s="1" t="s">
        <v>587</v>
      </c>
      <c r="G264" s="1" t="s">
        <v>714</v>
      </c>
      <c r="H264" s="1">
        <f t="shared" si="34"/>
        <v>0.25</v>
      </c>
      <c r="I264" s="1">
        <f t="shared" ref="I264:I265" si="37">J264*50</f>
        <v>2500000</v>
      </c>
      <c r="J264" s="1">
        <v>50000</v>
      </c>
      <c r="K264" s="267">
        <v>46076</v>
      </c>
      <c r="L264" s="267">
        <v>46092</v>
      </c>
      <c r="M264" s="1" t="str">
        <f t="shared" ca="1" si="32"/>
        <v>Open</v>
      </c>
      <c r="N264" s="248" t="s">
        <v>713</v>
      </c>
      <c r="O264" s="1" t="s">
        <v>712</v>
      </c>
    </row>
    <row r="265" spans="4:15" ht="54.95" customHeight="1" x14ac:dyDescent="0.25">
      <c r="D265" s="257">
        <v>254</v>
      </c>
      <c r="E265" s="1" t="s">
        <v>15</v>
      </c>
      <c r="F265" s="1" t="s">
        <v>717</v>
      </c>
      <c r="G265" s="1" t="s">
        <v>718</v>
      </c>
      <c r="H265" s="1">
        <f t="shared" si="34"/>
        <v>4</v>
      </c>
      <c r="I265" s="1">
        <f t="shared" si="37"/>
        <v>40000000</v>
      </c>
      <c r="J265" s="1">
        <v>800000</v>
      </c>
      <c r="K265" s="267">
        <v>46076</v>
      </c>
      <c r="L265" s="267">
        <v>46090</v>
      </c>
      <c r="M265" s="1" t="str">
        <f t="shared" ca="1" si="32"/>
        <v>Open</v>
      </c>
      <c r="N265" s="249" t="s">
        <v>716</v>
      </c>
      <c r="O265" s="1" t="s">
        <v>715</v>
      </c>
    </row>
    <row r="266" spans="4:15" ht="54.95" customHeight="1" x14ac:dyDescent="0.25">
      <c r="D266" s="257">
        <v>255</v>
      </c>
      <c r="E266" s="1" t="s">
        <v>141</v>
      </c>
      <c r="F266" s="1" t="s">
        <v>721</v>
      </c>
      <c r="G266" s="1" t="s">
        <v>722</v>
      </c>
      <c r="H266" s="1">
        <f t="shared" si="34"/>
        <v>0.33289999999999997</v>
      </c>
      <c r="I266" s="1">
        <v>3329000</v>
      </c>
      <c r="J266" s="1">
        <v>66500</v>
      </c>
      <c r="K266" s="267">
        <v>46076</v>
      </c>
      <c r="L266" s="267">
        <v>46093</v>
      </c>
      <c r="M266" s="1" t="str">
        <f t="shared" ca="1" si="32"/>
        <v>Open</v>
      </c>
      <c r="N266" s="250" t="s">
        <v>720</v>
      </c>
      <c r="O266" s="1" t="s">
        <v>719</v>
      </c>
    </row>
    <row r="267" spans="4:15" ht="54.95" customHeight="1" x14ac:dyDescent="0.25">
      <c r="D267" s="257">
        <v>256</v>
      </c>
      <c r="E267" s="1" t="s">
        <v>101</v>
      </c>
      <c r="F267" s="1" t="s">
        <v>18</v>
      </c>
      <c r="G267" s="1" t="s">
        <v>725</v>
      </c>
      <c r="H267" s="1">
        <f t="shared" si="34"/>
        <v>0.30499999999999999</v>
      </c>
      <c r="I267" s="1">
        <v>3050000</v>
      </c>
      <c r="J267" s="1">
        <v>61000</v>
      </c>
      <c r="K267" s="267">
        <v>46076</v>
      </c>
      <c r="L267" s="267">
        <v>46092</v>
      </c>
      <c r="M267" s="1" t="str">
        <f t="shared" ca="1" si="32"/>
        <v>Open</v>
      </c>
      <c r="N267" s="251" t="s">
        <v>724</v>
      </c>
      <c r="O267" s="1" t="s">
        <v>723</v>
      </c>
    </row>
    <row r="268" spans="4:15" ht="54.95" customHeight="1" x14ac:dyDescent="0.25">
      <c r="D268" s="257">
        <v>257</v>
      </c>
      <c r="E268" s="1" t="s">
        <v>54</v>
      </c>
      <c r="F268" s="1" t="s">
        <v>18</v>
      </c>
      <c r="G268" s="1" t="s">
        <v>728</v>
      </c>
      <c r="H268" s="1">
        <f t="shared" si="34"/>
        <v>1.78</v>
      </c>
      <c r="I268" s="1">
        <v>17800000</v>
      </c>
      <c r="J268" s="1">
        <v>356000</v>
      </c>
      <c r="K268" s="267">
        <v>46076</v>
      </c>
      <c r="L268" s="267">
        <v>46091</v>
      </c>
      <c r="M268" s="1" t="str">
        <f t="shared" ref="M268:M272" ca="1" si="38">IF(L268&lt;$I$7,"Closed",IF(L268&gt;$I$7,"Open",IF(L268=$I$7,"Closing Today","NA")))</f>
        <v>Open</v>
      </c>
      <c r="N268" s="252" t="s">
        <v>727</v>
      </c>
      <c r="O268" s="1" t="s">
        <v>726</v>
      </c>
    </row>
    <row r="269" spans="4:15" ht="54.95" customHeight="1" x14ac:dyDescent="0.25">
      <c r="D269" s="257">
        <v>258</v>
      </c>
      <c r="E269" s="1" t="s">
        <v>147</v>
      </c>
      <c r="F269" s="1" t="s">
        <v>18</v>
      </c>
      <c r="G269" s="1" t="s">
        <v>731</v>
      </c>
      <c r="H269" s="1">
        <f t="shared" si="34"/>
        <v>0.2525</v>
      </c>
      <c r="I269" s="1">
        <v>2525000</v>
      </c>
      <c r="J269" s="1">
        <v>50500</v>
      </c>
      <c r="K269" s="267">
        <v>46076</v>
      </c>
      <c r="L269" s="267">
        <v>46092</v>
      </c>
      <c r="M269" s="1" t="str">
        <f t="shared" ca="1" si="38"/>
        <v>Open</v>
      </c>
      <c r="N269" s="253" t="s">
        <v>730</v>
      </c>
      <c r="O269" s="1" t="s">
        <v>729</v>
      </c>
    </row>
    <row r="270" spans="4:15" ht="60" x14ac:dyDescent="0.25">
      <c r="D270" s="257">
        <v>259</v>
      </c>
      <c r="E270" s="1" t="s">
        <v>65</v>
      </c>
      <c r="F270" s="1" t="s">
        <v>295</v>
      </c>
      <c r="G270" s="1" t="s">
        <v>734</v>
      </c>
      <c r="H270" s="1">
        <f t="shared" si="34"/>
        <v>0.22</v>
      </c>
      <c r="I270" s="1">
        <v>2200000</v>
      </c>
      <c r="J270" s="1">
        <v>66000</v>
      </c>
      <c r="K270" s="267">
        <v>46076</v>
      </c>
      <c r="L270" s="267">
        <v>46090</v>
      </c>
      <c r="M270" s="1" t="str">
        <f t="shared" ca="1" si="38"/>
        <v>Open</v>
      </c>
      <c r="N270" s="254" t="s">
        <v>733</v>
      </c>
      <c r="O270" s="1" t="s">
        <v>732</v>
      </c>
    </row>
    <row r="271" spans="4:15" ht="60" x14ac:dyDescent="0.25">
      <c r="D271" s="257">
        <v>260</v>
      </c>
      <c r="E271" s="1" t="s">
        <v>316</v>
      </c>
      <c r="F271" s="1" t="s">
        <v>587</v>
      </c>
      <c r="G271" s="1" t="s">
        <v>737</v>
      </c>
      <c r="H271" s="1">
        <f t="shared" si="34"/>
        <v>3.54</v>
      </c>
      <c r="I271" s="1">
        <v>35400000</v>
      </c>
      <c r="J271" s="1">
        <v>715000</v>
      </c>
      <c r="K271" s="267">
        <v>46076</v>
      </c>
      <c r="L271" s="267">
        <v>46091</v>
      </c>
      <c r="M271" s="1" t="str">
        <f t="shared" ca="1" si="38"/>
        <v>Open</v>
      </c>
      <c r="N271" s="255" t="s">
        <v>736</v>
      </c>
      <c r="O271" s="1" t="s">
        <v>735</v>
      </c>
    </row>
    <row r="272" spans="4:15" ht="120" x14ac:dyDescent="0.25">
      <c r="D272" s="257">
        <v>261</v>
      </c>
      <c r="E272" s="1" t="s">
        <v>72</v>
      </c>
      <c r="F272" s="1" t="s">
        <v>721</v>
      </c>
      <c r="G272" s="1" t="s">
        <v>739</v>
      </c>
      <c r="H272" s="1">
        <f t="shared" si="34"/>
        <v>0.33239999999999997</v>
      </c>
      <c r="I272" s="1">
        <v>3324000</v>
      </c>
      <c r="J272" s="1">
        <v>66500</v>
      </c>
      <c r="K272" s="267">
        <v>46076</v>
      </c>
      <c r="L272" s="267">
        <v>46093</v>
      </c>
      <c r="M272" s="1" t="str">
        <f t="shared" ca="1" si="38"/>
        <v>Open</v>
      </c>
      <c r="N272" s="256" t="s">
        <v>738</v>
      </c>
      <c r="O272" s="1" t="s">
        <v>719</v>
      </c>
    </row>
  </sheetData>
  <hyperlinks>
    <hyperlink ref="N12" r:id="rId1"/>
    <hyperlink ref="N13" r:id="rId2"/>
    <hyperlink ref="N14" r:id="rId3"/>
    <hyperlink ref="N15" r:id="rId4"/>
    <hyperlink ref="N16" r:id="rId5"/>
    <hyperlink ref="N17" r:id="rId6"/>
    <hyperlink ref="N18" r:id="rId7"/>
    <hyperlink ref="N19" r:id="rId8"/>
    <hyperlink ref="N20" r:id="rId9"/>
    <hyperlink ref="N21" r:id="rId10"/>
    <hyperlink ref="N22" r:id="rId11"/>
    <hyperlink ref="N23" r:id="rId12"/>
    <hyperlink ref="N24" r:id="rId13"/>
    <hyperlink ref="N25" r:id="rId14"/>
    <hyperlink ref="N26" r:id="rId15"/>
    <hyperlink ref="N27" r:id="rId16"/>
    <hyperlink ref="N28" r:id="rId17"/>
    <hyperlink ref="N29" r:id="rId18"/>
    <hyperlink ref="N30" r:id="rId19"/>
    <hyperlink ref="N31" r:id="rId20"/>
    <hyperlink ref="N32" r:id="rId21"/>
    <hyperlink ref="N33" r:id="rId22"/>
    <hyperlink ref="N34" r:id="rId23"/>
    <hyperlink ref="N35" r:id="rId24"/>
    <hyperlink ref="N36" r:id="rId25"/>
    <hyperlink ref="N37" r:id="rId26"/>
    <hyperlink ref="N38" r:id="rId27"/>
    <hyperlink ref="N39" r:id="rId28"/>
    <hyperlink ref="N40" r:id="rId29"/>
    <hyperlink ref="N41" r:id="rId30"/>
    <hyperlink ref="N42" r:id="rId31"/>
    <hyperlink ref="N43" r:id="rId32"/>
    <hyperlink ref="N44" r:id="rId33"/>
    <hyperlink ref="N45" r:id="rId34"/>
    <hyperlink ref="N46" r:id="rId35"/>
    <hyperlink ref="N47" r:id="rId36"/>
    <hyperlink ref="N48" r:id="rId37"/>
    <hyperlink ref="N49" r:id="rId38"/>
    <hyperlink ref="N50" r:id="rId39"/>
    <hyperlink ref="N51" r:id="rId40"/>
    <hyperlink ref="N52" r:id="rId41"/>
    <hyperlink ref="N53" r:id="rId42"/>
    <hyperlink ref="N54" r:id="rId43"/>
    <hyperlink ref="N55" r:id="rId44"/>
    <hyperlink ref="N56" r:id="rId45"/>
    <hyperlink ref="N57" r:id="rId46"/>
    <hyperlink ref="N58" r:id="rId47"/>
    <hyperlink ref="N59" r:id="rId48"/>
    <hyperlink ref="N60" r:id="rId49"/>
    <hyperlink ref="N61" r:id="rId50"/>
    <hyperlink ref="N62" r:id="rId51"/>
    <hyperlink ref="N63" r:id="rId52"/>
    <hyperlink ref="N64" r:id="rId53"/>
    <hyperlink ref="N65" r:id="rId54"/>
    <hyperlink ref="N66" r:id="rId55"/>
    <hyperlink ref="N67" r:id="rId56"/>
    <hyperlink ref="N68" r:id="rId57"/>
    <hyperlink ref="N72" r:id="rId58"/>
    <hyperlink ref="N73" r:id="rId59"/>
    <hyperlink ref="N74" r:id="rId60"/>
    <hyperlink ref="N75" r:id="rId61"/>
    <hyperlink ref="N76" r:id="rId62"/>
    <hyperlink ref="N77" r:id="rId63"/>
    <hyperlink ref="N78" r:id="rId64"/>
    <hyperlink ref="N79" r:id="rId65"/>
    <hyperlink ref="N80" r:id="rId66"/>
    <hyperlink ref="N81" r:id="rId67"/>
    <hyperlink ref="N82" r:id="rId68"/>
    <hyperlink ref="N83" r:id="rId69"/>
    <hyperlink ref="N84" r:id="rId70"/>
    <hyperlink ref="N85" r:id="rId71"/>
    <hyperlink ref="N86" r:id="rId72"/>
    <hyperlink ref="N87" r:id="rId73"/>
    <hyperlink ref="N88" r:id="rId74"/>
    <hyperlink ref="N89" r:id="rId75"/>
    <hyperlink ref="N90" r:id="rId76"/>
    <hyperlink ref="N91" r:id="rId77"/>
    <hyperlink ref="N92" r:id="rId78"/>
    <hyperlink ref="N93" r:id="rId79"/>
    <hyperlink ref="N94" r:id="rId80"/>
    <hyperlink ref="N95" r:id="rId81"/>
    <hyperlink ref="N96" r:id="rId82"/>
    <hyperlink ref="N97" r:id="rId83"/>
    <hyperlink ref="N98" r:id="rId84"/>
    <hyperlink ref="N99" r:id="rId85"/>
    <hyperlink ref="N100" r:id="rId86"/>
    <hyperlink ref="N101" r:id="rId87"/>
    <hyperlink ref="N102" r:id="rId88"/>
    <hyperlink ref="N103" r:id="rId89"/>
    <hyperlink ref="N104" r:id="rId90"/>
    <hyperlink ref="N105" r:id="rId91"/>
    <hyperlink ref="N106" r:id="rId92"/>
    <hyperlink ref="N107" r:id="rId93"/>
    <hyperlink ref="N108" r:id="rId94"/>
    <hyperlink ref="N109" r:id="rId95"/>
    <hyperlink ref="N110" r:id="rId96"/>
    <hyperlink ref="N111" r:id="rId97"/>
    <hyperlink ref="N112" r:id="rId98"/>
    <hyperlink ref="N113" r:id="rId99"/>
    <hyperlink ref="N114" r:id="rId100"/>
    <hyperlink ref="N115" r:id="rId101"/>
    <hyperlink ref="N116" r:id="rId102"/>
    <hyperlink ref="N117" r:id="rId103"/>
    <hyperlink ref="N118" r:id="rId104"/>
    <hyperlink ref="N119" r:id="rId105"/>
    <hyperlink ref="N120" r:id="rId106"/>
    <hyperlink ref="N121" r:id="rId107"/>
    <hyperlink ref="N122" r:id="rId108"/>
    <hyperlink ref="N123" r:id="rId109"/>
    <hyperlink ref="N124" r:id="rId110"/>
    <hyperlink ref="N125" r:id="rId111"/>
    <hyperlink ref="N126" r:id="rId112"/>
    <hyperlink ref="N127" r:id="rId113"/>
    <hyperlink ref="N128" r:id="rId114"/>
    <hyperlink ref="N129" r:id="rId115"/>
    <hyperlink ref="N130" r:id="rId116"/>
    <hyperlink ref="N131" r:id="rId117"/>
    <hyperlink ref="N132" r:id="rId118"/>
    <hyperlink ref="N133" r:id="rId119"/>
    <hyperlink ref="N134" r:id="rId120"/>
    <hyperlink ref="N135" r:id="rId121"/>
    <hyperlink ref="N136" r:id="rId122"/>
    <hyperlink ref="N137" r:id="rId123"/>
    <hyperlink ref="N138" r:id="rId124"/>
    <hyperlink ref="N139" r:id="rId125"/>
    <hyperlink ref="N140" r:id="rId126"/>
    <hyperlink ref="N141" r:id="rId127"/>
    <hyperlink ref="N142" r:id="rId128"/>
    <hyperlink ref="N143" r:id="rId129"/>
    <hyperlink ref="N144" r:id="rId130"/>
    <hyperlink ref="N145" r:id="rId131"/>
    <hyperlink ref="N146" r:id="rId132"/>
    <hyperlink ref="N147" r:id="rId133"/>
    <hyperlink ref="N148" r:id="rId134"/>
    <hyperlink ref="N149" r:id="rId135"/>
    <hyperlink ref="N150" r:id="rId136"/>
    <hyperlink ref="N151" r:id="rId137"/>
    <hyperlink ref="N152" r:id="rId138"/>
    <hyperlink ref="N153" r:id="rId139"/>
    <hyperlink ref="N154" r:id="rId140"/>
    <hyperlink ref="N155" r:id="rId141"/>
    <hyperlink ref="N156" r:id="rId142"/>
    <hyperlink ref="N157" r:id="rId143"/>
    <hyperlink ref="N158" r:id="rId144"/>
    <hyperlink ref="N159" r:id="rId145"/>
    <hyperlink ref="N160" r:id="rId146"/>
    <hyperlink ref="N161" r:id="rId147"/>
    <hyperlink ref="N162" r:id="rId148"/>
    <hyperlink ref="N163" r:id="rId149"/>
    <hyperlink ref="N164" r:id="rId150"/>
    <hyperlink ref="N165" r:id="rId151"/>
    <hyperlink ref="N166" r:id="rId152"/>
    <hyperlink ref="N167" r:id="rId153"/>
    <hyperlink ref="N168" r:id="rId154"/>
    <hyperlink ref="N169" r:id="rId155"/>
    <hyperlink ref="N170" r:id="rId156"/>
    <hyperlink ref="N175" r:id="rId157"/>
    <hyperlink ref="N176" r:id="rId158"/>
    <hyperlink ref="N177" r:id="rId159"/>
    <hyperlink ref="N178" r:id="rId160"/>
    <hyperlink ref="N179" r:id="rId161"/>
    <hyperlink ref="N180" r:id="rId162"/>
    <hyperlink ref="N181" r:id="rId163"/>
    <hyperlink ref="N182" r:id="rId164"/>
    <hyperlink ref="N183" r:id="rId165"/>
    <hyperlink ref="N184" r:id="rId166"/>
    <hyperlink ref="N185" r:id="rId167"/>
    <hyperlink ref="N186" r:id="rId168"/>
    <hyperlink ref="N187" r:id="rId169"/>
    <hyperlink ref="N188" r:id="rId170"/>
    <hyperlink ref="N189" r:id="rId171"/>
    <hyperlink ref="N190" r:id="rId172"/>
    <hyperlink ref="N191" r:id="rId173"/>
    <hyperlink ref="N192" r:id="rId174"/>
    <hyperlink ref="N193" r:id="rId175"/>
    <hyperlink ref="N194" r:id="rId176"/>
    <hyperlink ref="N195" r:id="rId177"/>
    <hyperlink ref="N196" r:id="rId178"/>
    <hyperlink ref="N197" r:id="rId179"/>
    <hyperlink ref="N198" r:id="rId180"/>
    <hyperlink ref="N199" r:id="rId181"/>
    <hyperlink ref="N200" r:id="rId182"/>
    <hyperlink ref="N201" r:id="rId183"/>
    <hyperlink ref="N202" r:id="rId184"/>
    <hyperlink ref="N203" r:id="rId185"/>
    <hyperlink ref="N204" r:id="rId186"/>
    <hyperlink ref="N205" r:id="rId187"/>
    <hyperlink ref="N206" r:id="rId188"/>
    <hyperlink ref="N207" r:id="rId189"/>
    <hyperlink ref="N208" r:id="rId190"/>
    <hyperlink ref="N209" r:id="rId191"/>
    <hyperlink ref="N210" r:id="rId192"/>
    <hyperlink ref="N211" r:id="rId193"/>
    <hyperlink ref="N212" r:id="rId194"/>
    <hyperlink ref="N213" r:id="rId195"/>
    <hyperlink ref="N214" r:id="rId196"/>
    <hyperlink ref="N215" r:id="rId197"/>
    <hyperlink ref="N216" r:id="rId198"/>
    <hyperlink ref="N217" r:id="rId199"/>
    <hyperlink ref="N218" r:id="rId200"/>
    <hyperlink ref="N219" r:id="rId201"/>
    <hyperlink ref="N220" r:id="rId202"/>
    <hyperlink ref="N221" r:id="rId203"/>
    <hyperlink ref="N222" r:id="rId204"/>
    <hyperlink ref="N223" r:id="rId205"/>
    <hyperlink ref="N224" r:id="rId206"/>
    <hyperlink ref="N225" r:id="rId207"/>
    <hyperlink ref="N226" r:id="rId208"/>
    <hyperlink ref="N227" r:id="rId209"/>
    <hyperlink ref="N228" r:id="rId210"/>
    <hyperlink ref="N229" r:id="rId211"/>
    <hyperlink ref="N230" r:id="rId212"/>
    <hyperlink ref="N231" r:id="rId213"/>
    <hyperlink ref="N232" r:id="rId214"/>
    <hyperlink ref="N233" r:id="rId215"/>
    <hyperlink ref="N234" r:id="rId216"/>
    <hyperlink ref="N235" r:id="rId217"/>
    <hyperlink ref="N236" r:id="rId218"/>
    <hyperlink ref="N237" r:id="rId219"/>
    <hyperlink ref="N238" r:id="rId220"/>
    <hyperlink ref="N239" r:id="rId221"/>
    <hyperlink ref="N240" r:id="rId222"/>
    <hyperlink ref="N241" r:id="rId223"/>
    <hyperlink ref="N242" r:id="rId224"/>
    <hyperlink ref="N243" r:id="rId225"/>
    <hyperlink ref="N244" r:id="rId226"/>
    <hyperlink ref="N245" r:id="rId227"/>
    <hyperlink ref="N246" r:id="rId228"/>
    <hyperlink ref="N247" r:id="rId229"/>
    <hyperlink ref="N248" r:id="rId230"/>
    <hyperlink ref="N249" r:id="rId231"/>
    <hyperlink ref="N250" r:id="rId232"/>
    <hyperlink ref="N251" r:id="rId233"/>
    <hyperlink ref="N252" r:id="rId234"/>
    <hyperlink ref="N253" r:id="rId235"/>
    <hyperlink ref="N254" r:id="rId236"/>
    <hyperlink ref="N255" r:id="rId237"/>
    <hyperlink ref="N256" r:id="rId238"/>
    <hyperlink ref="N257" r:id="rId239"/>
    <hyperlink ref="N258" r:id="rId240"/>
    <hyperlink ref="N259" r:id="rId241"/>
    <hyperlink ref="N260" r:id="rId242"/>
    <hyperlink ref="N261" r:id="rId243"/>
    <hyperlink ref="N262" r:id="rId244"/>
    <hyperlink ref="N263" r:id="rId245"/>
    <hyperlink ref="N264" r:id="rId246"/>
    <hyperlink ref="N265" r:id="rId247"/>
    <hyperlink ref="N266" r:id="rId248"/>
    <hyperlink ref="N267" r:id="rId249"/>
    <hyperlink ref="N268" r:id="rId250"/>
    <hyperlink ref="N269" r:id="rId251"/>
    <hyperlink ref="N270" r:id="rId252"/>
    <hyperlink ref="N271" r:id="rId253"/>
    <hyperlink ref="N272" r:id="rId254"/>
    <hyperlink ref="N69:N71" r:id="rId255" display="N-947b8e8e-b933-4e09-a1d7-1439da5a7f77"/>
    <hyperlink ref="N171:N174" r:id="rId256" display="N-d7af583e-b366-4f2c-95c1-2fb0a48d1417"/>
  </hyperlinks>
  <pageMargins left="0.7" right="0.7" top="0.75" bottom="0.75" header="0.3" footer="0.3"/>
  <pageSetup orientation="portrait" r:id="rId257"/>
  <drawing r:id="rId258"/>
  <tableParts count="1">
    <tablePart r:id="rId259"/>
  </tableParts>
  <extLst>
    <ext xmlns:x15="http://schemas.microsoft.com/office/spreadsheetml/2010/11/main" uri="{3A4CF648-6AED-40f4-86FF-DC5316D8AED3}">
      <x14:slicerList xmlns:x14="http://schemas.microsoft.com/office/spreadsheetml/2009/9/main">
        <x14:slicer r:id="rId26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List_05032026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Windows User</cp:lastModifiedBy>
  <dcterms:created xsi:type="dcterms:W3CDTF">2026-03-05T04:01:38Z</dcterms:created>
  <dcterms:modified xsi:type="dcterms:W3CDTF">2026-03-05T08:40:55Z</dcterms:modified>
</cp:coreProperties>
</file>